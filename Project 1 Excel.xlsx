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A6EC1B95-A8D7-4B65-A1DF-1547235D14B6}" xr6:coauthVersionLast="47" xr6:coauthVersionMax="47" xr10:uidLastSave="{00000000-0000-0000-0000-000000000000}"/>
  <bookViews>
    <workbookView xWindow="-110" yWindow="-110" windowWidth="19420" windowHeight="10300" firstSheet="2" activeTab="6" xr2:uid="{1C518DDD-E79F-48C2-8C38-D9A0C74DFF5C}"/>
  </bookViews>
  <sheets>
    <sheet name="Pivot Total Revenue" sheetId="6" r:id="rId1"/>
    <sheet name="Pivot Best Selling Product" sheetId="7" r:id="rId2"/>
    <sheet name="Pivot Sales By city" sheetId="8" r:id="rId3"/>
    <sheet name="Pivot Daily Sales Trend" sheetId="10" r:id="rId4"/>
    <sheet name="Pivot Sales By Category" sheetId="11" r:id="rId5"/>
    <sheet name="Raw Data" sheetId="1" r:id="rId6"/>
    <sheet name="Dashboard" sheetId="3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H236" i="1" l="1"/>
  <c r="H228" i="1"/>
  <c r="H220" i="1"/>
  <c r="H212" i="1"/>
  <c r="H196" i="1"/>
  <c r="H188" i="1"/>
  <c r="H180" i="1"/>
  <c r="H172" i="1"/>
  <c r="H164" i="1"/>
  <c r="H156" i="1"/>
  <c r="H148" i="1"/>
  <c r="H140" i="1"/>
  <c r="H132" i="1"/>
  <c r="H124" i="1"/>
  <c r="H116" i="1"/>
  <c r="H108" i="1"/>
  <c r="H100" i="1"/>
  <c r="H92" i="1"/>
  <c r="H84" i="1"/>
  <c r="H76" i="1"/>
  <c r="H68" i="1"/>
  <c r="H60" i="1"/>
  <c r="H52" i="1"/>
  <c r="H44" i="1"/>
  <c r="H36" i="1"/>
  <c r="H28" i="1"/>
  <c r="H20" i="1"/>
  <c r="H12" i="1"/>
  <c r="H4" i="1"/>
  <c r="H204" i="1"/>
  <c r="H499" i="1"/>
  <c r="H491" i="1"/>
  <c r="H483" i="1"/>
  <c r="H475" i="1"/>
  <c r="H467" i="1"/>
  <c r="H459" i="1"/>
  <c r="H451" i="1"/>
  <c r="H443" i="1"/>
  <c r="H435" i="1"/>
  <c r="H427" i="1"/>
  <c r="H419" i="1"/>
  <c r="H411" i="1"/>
  <c r="H403" i="1"/>
  <c r="H395" i="1"/>
  <c r="H387" i="1"/>
  <c r="H379" i="1"/>
  <c r="H371" i="1"/>
  <c r="H363" i="1"/>
  <c r="H355" i="1"/>
  <c r="H347" i="1"/>
  <c r="H339" i="1"/>
  <c r="H331" i="1"/>
  <c r="H323" i="1"/>
  <c r="H315" i="1"/>
  <c r="H307" i="1"/>
  <c r="H299" i="1"/>
  <c r="H291" i="1"/>
  <c r="H283" i="1"/>
  <c r="H275" i="1"/>
  <c r="H267" i="1"/>
  <c r="H259" i="1"/>
  <c r="H251" i="1"/>
  <c r="H243" i="1"/>
  <c r="H235" i="1"/>
  <c r="H227" i="1"/>
  <c r="H219" i="1"/>
  <c r="H211" i="1"/>
  <c r="H203" i="1"/>
  <c r="H195" i="1"/>
  <c r="H187" i="1"/>
  <c r="H179" i="1"/>
  <c r="H171" i="1"/>
  <c r="H163" i="1"/>
  <c r="H155" i="1"/>
  <c r="H147" i="1"/>
  <c r="H139" i="1"/>
  <c r="H131" i="1"/>
  <c r="H123" i="1"/>
  <c r="H115" i="1"/>
  <c r="H107" i="1"/>
  <c r="H99" i="1"/>
  <c r="H91" i="1"/>
  <c r="H83" i="1"/>
  <c r="H75" i="1"/>
  <c r="H67" i="1"/>
  <c r="H59" i="1"/>
  <c r="H51" i="1"/>
  <c r="H43" i="1"/>
  <c r="H35" i="1"/>
  <c r="H27" i="1"/>
  <c r="H19" i="1"/>
  <c r="H11" i="1"/>
  <c r="H3" i="1"/>
  <c r="H494" i="1"/>
  <c r="H486" i="1"/>
  <c r="H478" i="1"/>
  <c r="H470" i="1"/>
  <c r="H462" i="1"/>
  <c r="H454" i="1"/>
  <c r="H446" i="1"/>
  <c r="H438" i="1"/>
  <c r="H430" i="1"/>
  <c r="H422" i="1"/>
  <c r="H414" i="1"/>
  <c r="H406" i="1"/>
  <c r="H398" i="1"/>
  <c r="H390" i="1"/>
  <c r="H382" i="1"/>
  <c r="H374" i="1"/>
  <c r="H366" i="1"/>
  <c r="H358" i="1"/>
  <c r="H350" i="1"/>
  <c r="H342" i="1"/>
  <c r="H334" i="1"/>
  <c r="H326" i="1"/>
  <c r="H318" i="1"/>
  <c r="H310" i="1"/>
  <c r="H302" i="1"/>
  <c r="H294" i="1"/>
  <c r="H286" i="1"/>
  <c r="H278" i="1"/>
  <c r="H270" i="1"/>
  <c r="H262" i="1"/>
  <c r="H254" i="1"/>
  <c r="H246" i="1"/>
  <c r="H238" i="1"/>
  <c r="H230" i="1"/>
  <c r="H222" i="1"/>
  <c r="H214" i="1"/>
  <c r="H206" i="1"/>
  <c r="H198" i="1"/>
  <c r="H190" i="1"/>
  <c r="H182" i="1"/>
  <c r="H174" i="1"/>
  <c r="H166" i="1"/>
  <c r="H158" i="1"/>
  <c r="H150" i="1"/>
  <c r="H142" i="1"/>
  <c r="H134" i="1"/>
  <c r="H126" i="1"/>
  <c r="H118" i="1"/>
  <c r="H110" i="1"/>
  <c r="H102" i="1"/>
  <c r="H94" i="1"/>
  <c r="H86" i="1"/>
  <c r="H78" i="1"/>
  <c r="H70" i="1"/>
  <c r="H62" i="1"/>
  <c r="H54" i="1"/>
  <c r="H46" i="1"/>
  <c r="H38" i="1"/>
  <c r="H30" i="1"/>
  <c r="H22" i="1"/>
  <c r="H14" i="1"/>
  <c r="H6" i="1"/>
  <c r="H495" i="1"/>
  <c r="H487" i="1"/>
  <c r="H479" i="1"/>
  <c r="H471" i="1"/>
  <c r="H463" i="1"/>
  <c r="H455" i="1"/>
  <c r="H447" i="1"/>
  <c r="H439" i="1"/>
  <c r="H431" i="1"/>
  <c r="H423" i="1"/>
  <c r="H415" i="1"/>
  <c r="H407" i="1"/>
  <c r="H399" i="1"/>
  <c r="H391" i="1"/>
  <c r="H383" i="1"/>
  <c r="H375" i="1"/>
  <c r="H367" i="1"/>
  <c r="H359" i="1"/>
  <c r="H351" i="1"/>
  <c r="H343" i="1"/>
  <c r="H335" i="1"/>
  <c r="H327" i="1"/>
  <c r="H319" i="1"/>
  <c r="H311" i="1"/>
  <c r="H303" i="1"/>
  <c r="H295" i="1"/>
  <c r="H287" i="1"/>
  <c r="H279" i="1"/>
  <c r="H271" i="1"/>
  <c r="H263" i="1"/>
  <c r="H255" i="1"/>
  <c r="H247" i="1"/>
  <c r="H239" i="1"/>
  <c r="H231" i="1"/>
  <c r="H223" i="1"/>
  <c r="H215" i="1"/>
  <c r="H207" i="1"/>
  <c r="H199" i="1"/>
  <c r="H191" i="1"/>
  <c r="H183" i="1"/>
  <c r="H175" i="1"/>
  <c r="H167" i="1"/>
  <c r="H159" i="1"/>
  <c r="H151" i="1"/>
  <c r="H143" i="1"/>
  <c r="H135" i="1"/>
  <c r="H127" i="1"/>
  <c r="H119" i="1"/>
  <c r="H111" i="1"/>
  <c r="H103" i="1"/>
  <c r="H95" i="1"/>
  <c r="H87" i="1"/>
  <c r="H79" i="1"/>
  <c r="H71" i="1"/>
  <c r="H63" i="1"/>
  <c r="H55" i="1"/>
  <c r="H47" i="1"/>
  <c r="H39" i="1"/>
  <c r="H31" i="1"/>
  <c r="H23" i="1"/>
  <c r="H15" i="1"/>
  <c r="H7" i="1"/>
  <c r="H500" i="1"/>
  <c r="H492" i="1"/>
  <c r="H484" i="1"/>
  <c r="H476" i="1"/>
  <c r="H468" i="1"/>
  <c r="H460" i="1"/>
  <c r="H452" i="1"/>
  <c r="H444" i="1"/>
  <c r="H436" i="1"/>
  <c r="H428" i="1"/>
  <c r="H420" i="1"/>
  <c r="H412" i="1"/>
  <c r="H404" i="1"/>
  <c r="H396" i="1"/>
  <c r="H388" i="1"/>
  <c r="H380" i="1"/>
  <c r="H372" i="1"/>
  <c r="H364" i="1"/>
  <c r="H356" i="1"/>
  <c r="H348" i="1"/>
  <c r="H340" i="1"/>
  <c r="H332" i="1"/>
  <c r="H324" i="1"/>
  <c r="H316" i="1"/>
  <c r="H308" i="1"/>
  <c r="H300" i="1"/>
  <c r="H292" i="1"/>
  <c r="H284" i="1"/>
  <c r="H276" i="1"/>
  <c r="H268" i="1"/>
  <c r="H260" i="1"/>
  <c r="H252" i="1"/>
  <c r="H244" i="1"/>
  <c r="H465" i="1"/>
  <c r="H457" i="1"/>
  <c r="H449" i="1"/>
  <c r="H441" i="1"/>
  <c r="H433" i="1"/>
  <c r="H425" i="1"/>
  <c r="H417" i="1"/>
  <c r="H409" i="1"/>
  <c r="H401" i="1"/>
  <c r="H393" i="1"/>
  <c r="H385" i="1"/>
  <c r="H377" i="1"/>
  <c r="H369" i="1"/>
  <c r="H361" i="1"/>
  <c r="H353" i="1"/>
  <c r="H345" i="1"/>
  <c r="H337" i="1"/>
  <c r="H329" i="1"/>
  <c r="H321" i="1"/>
  <c r="H313" i="1"/>
  <c r="H305" i="1"/>
  <c r="H297" i="1"/>
  <c r="H289" i="1"/>
  <c r="H281" i="1"/>
  <c r="H273" i="1"/>
  <c r="H265" i="1"/>
  <c r="H257" i="1"/>
  <c r="H249" i="1"/>
  <c r="H241" i="1"/>
  <c r="H233" i="1"/>
  <c r="H225" i="1"/>
  <c r="H217" i="1"/>
  <c r="H209" i="1"/>
  <c r="H201" i="1"/>
  <c r="H193" i="1"/>
  <c r="H185" i="1"/>
  <c r="H177" i="1"/>
  <c r="H169" i="1"/>
  <c r="H161" i="1"/>
  <c r="H153" i="1"/>
  <c r="H145" i="1"/>
  <c r="H137" i="1"/>
  <c r="H129" i="1"/>
  <c r="H121" i="1"/>
  <c r="H113" i="1"/>
  <c r="H105" i="1"/>
  <c r="H97" i="1"/>
  <c r="H89" i="1"/>
  <c r="H81" i="1"/>
  <c r="H73" i="1"/>
  <c r="H65" i="1"/>
  <c r="H57" i="1"/>
  <c r="H49" i="1"/>
  <c r="H41" i="1"/>
  <c r="H33" i="1"/>
  <c r="H25" i="1"/>
  <c r="H17" i="1"/>
  <c r="H9" i="1"/>
  <c r="H496" i="1"/>
  <c r="H488" i="1"/>
  <c r="H480" i="1"/>
  <c r="H472" i="1"/>
  <c r="H464" i="1"/>
  <c r="H456" i="1"/>
  <c r="H448" i="1"/>
  <c r="H440" i="1"/>
  <c r="H432" i="1"/>
  <c r="H424" i="1"/>
  <c r="H416" i="1"/>
  <c r="H408" i="1"/>
  <c r="H400" i="1"/>
  <c r="H392" i="1"/>
  <c r="H384" i="1"/>
  <c r="H376" i="1"/>
  <c r="H368" i="1"/>
  <c r="H360" i="1"/>
  <c r="H352" i="1"/>
  <c r="H344" i="1"/>
  <c r="H336" i="1"/>
  <c r="H328" i="1"/>
  <c r="H320" i="1"/>
  <c r="H312" i="1"/>
  <c r="H304" i="1"/>
  <c r="H296" i="1"/>
  <c r="H288" i="1"/>
  <c r="H280" i="1"/>
  <c r="H272" i="1"/>
  <c r="H264" i="1"/>
  <c r="H256" i="1"/>
  <c r="H248" i="1"/>
  <c r="H240" i="1"/>
  <c r="H232" i="1"/>
  <c r="H224" i="1"/>
  <c r="H216" i="1"/>
  <c r="H208" i="1"/>
  <c r="H200" i="1"/>
  <c r="H192" i="1"/>
  <c r="H184" i="1"/>
  <c r="H176" i="1"/>
  <c r="H168" i="1"/>
  <c r="H160" i="1"/>
  <c r="H152" i="1"/>
  <c r="H144" i="1"/>
  <c r="H136" i="1"/>
  <c r="H128" i="1"/>
  <c r="H120" i="1"/>
  <c r="H112" i="1"/>
  <c r="H104" i="1"/>
  <c r="H96" i="1"/>
  <c r="H88" i="1"/>
  <c r="H80" i="1"/>
  <c r="H72" i="1"/>
  <c r="H64" i="1"/>
  <c r="H56" i="1"/>
  <c r="H48" i="1"/>
  <c r="H40" i="1"/>
  <c r="H32" i="1"/>
  <c r="H24" i="1"/>
  <c r="H16" i="1"/>
  <c r="H8" i="1"/>
  <c r="H2" i="1"/>
  <c r="H493" i="1"/>
  <c r="H485" i="1"/>
  <c r="H477" i="1"/>
  <c r="H469" i="1"/>
  <c r="H461" i="1"/>
  <c r="H453" i="1"/>
  <c r="H445" i="1"/>
  <c r="H437" i="1"/>
  <c r="H429" i="1"/>
  <c r="H421" i="1"/>
  <c r="H413" i="1"/>
  <c r="H405" i="1"/>
  <c r="H397" i="1"/>
  <c r="H389" i="1"/>
  <c r="H381" i="1"/>
  <c r="H373" i="1"/>
  <c r="H365" i="1"/>
  <c r="H357" i="1"/>
  <c r="H349" i="1"/>
  <c r="H341" i="1"/>
  <c r="H333" i="1"/>
  <c r="H325" i="1"/>
  <c r="H317" i="1"/>
  <c r="H309" i="1"/>
  <c r="H301" i="1"/>
  <c r="H293" i="1"/>
  <c r="H285" i="1"/>
  <c r="H277" i="1"/>
  <c r="H269" i="1"/>
  <c r="H261" i="1"/>
  <c r="H253" i="1"/>
  <c r="H245" i="1"/>
  <c r="H237" i="1"/>
  <c r="H229" i="1"/>
  <c r="H221" i="1"/>
  <c r="H213" i="1"/>
  <c r="H205" i="1"/>
  <c r="H197" i="1"/>
  <c r="H189" i="1"/>
  <c r="H181" i="1"/>
  <c r="H173" i="1"/>
  <c r="H165" i="1"/>
  <c r="H157" i="1"/>
  <c r="H149" i="1"/>
  <c r="H141" i="1"/>
  <c r="H133" i="1"/>
  <c r="H125" i="1"/>
  <c r="H117" i="1"/>
  <c r="H109" i="1"/>
  <c r="H101" i="1"/>
  <c r="H93" i="1"/>
  <c r="H85" i="1"/>
  <c r="H77" i="1"/>
  <c r="H69" i="1"/>
  <c r="H61" i="1"/>
  <c r="H53" i="1"/>
  <c r="H45" i="1"/>
  <c r="H37" i="1"/>
  <c r="H29" i="1"/>
  <c r="H21" i="1"/>
  <c r="H13" i="1"/>
  <c r="H5" i="1"/>
  <c r="H497" i="1"/>
  <c r="H489" i="1"/>
  <c r="H481" i="1"/>
  <c r="H473" i="1"/>
  <c r="H498" i="1"/>
  <c r="H490" i="1"/>
  <c r="H482" i="1"/>
  <c r="H474" i="1"/>
  <c r="H466" i="1"/>
  <c r="H458" i="1"/>
  <c r="H450" i="1"/>
  <c r="H442" i="1"/>
  <c r="H434" i="1"/>
  <c r="H426" i="1"/>
  <c r="H418" i="1"/>
  <c r="H410" i="1"/>
  <c r="H402" i="1"/>
  <c r="H394" i="1"/>
  <c r="H386" i="1"/>
  <c r="H378" i="1"/>
  <c r="H370" i="1"/>
  <c r="H362" i="1"/>
  <c r="H354" i="1"/>
  <c r="H346" i="1"/>
  <c r="H338" i="1"/>
  <c r="H330" i="1"/>
  <c r="H322" i="1"/>
  <c r="H314" i="1"/>
  <c r="H306" i="1"/>
  <c r="H298" i="1"/>
  <c r="H290" i="1"/>
  <c r="H282" i="1"/>
  <c r="H274" i="1"/>
  <c r="H266" i="1"/>
  <c r="H258" i="1"/>
  <c r="H250" i="1"/>
  <c r="H242" i="1"/>
  <c r="H234" i="1"/>
  <c r="H226" i="1"/>
  <c r="H218" i="1"/>
  <c r="H210" i="1"/>
  <c r="H202" i="1"/>
  <c r="H194" i="1"/>
  <c r="H186" i="1"/>
  <c r="H178" i="1"/>
  <c r="H170" i="1"/>
  <c r="H162" i="1"/>
  <c r="H154" i="1"/>
  <c r="H146" i="1"/>
  <c r="H138" i="1"/>
  <c r="H130" i="1"/>
  <c r="H122" i="1"/>
  <c r="H114" i="1"/>
  <c r="H106" i="1"/>
  <c r="H98" i="1"/>
  <c r="H90" i="1"/>
  <c r="H82" i="1"/>
  <c r="H74" i="1"/>
  <c r="H66" i="1"/>
  <c r="H58" i="1"/>
  <c r="H50" i="1"/>
  <c r="H42" i="1"/>
  <c r="H34" i="1"/>
  <c r="H26" i="1"/>
  <c r="H18" i="1"/>
  <c r="H10" i="1"/>
</calcChain>
</file>

<file path=xl/sharedStrings.xml><?xml version="1.0" encoding="utf-8"?>
<sst xmlns="http://schemas.openxmlformats.org/spreadsheetml/2006/main" count="48" uniqueCount="29">
  <si>
    <t>Date</t>
  </si>
  <si>
    <t>Order_ID</t>
  </si>
  <si>
    <t>Product</t>
  </si>
  <si>
    <t>Category</t>
  </si>
  <si>
    <t>City</t>
  </si>
  <si>
    <t>Quantity</t>
  </si>
  <si>
    <t>Unit_Price</t>
  </si>
  <si>
    <t>Total_Sales</t>
  </si>
  <si>
    <t>Rice</t>
  </si>
  <si>
    <t>Food</t>
  </si>
  <si>
    <t>Lagos</t>
  </si>
  <si>
    <t>Cooking Oil</t>
  </si>
  <si>
    <t>Abuja</t>
  </si>
  <si>
    <t>Milk</t>
  </si>
  <si>
    <t>Beverage</t>
  </si>
  <si>
    <t>Port Harcourt</t>
  </si>
  <si>
    <t>Bread</t>
  </si>
  <si>
    <t>Sugar</t>
  </si>
  <si>
    <t>Ibadan</t>
  </si>
  <si>
    <t>Row Labels</t>
  </si>
  <si>
    <t>Beans</t>
  </si>
  <si>
    <t>Noodles</t>
  </si>
  <si>
    <t>Soft Drink</t>
  </si>
  <si>
    <t>Grand Total</t>
  </si>
  <si>
    <t>Sum of Total_Sales</t>
  </si>
  <si>
    <t>Sum of Quantity</t>
  </si>
  <si>
    <t>Kano</t>
  </si>
  <si>
    <t>Household</t>
  </si>
  <si>
    <t>Retail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</si>
</sst>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6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Excel.xlsx]Pivot Total Revenue!PivotTable3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Total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Total Revenue'!$A$4:$A$12</c:f>
              <c:strCache>
                <c:ptCount val="8"/>
                <c:pt idx="0">
                  <c:v>Noodles</c:v>
                </c:pt>
                <c:pt idx="1">
                  <c:v>Beans</c:v>
                </c:pt>
                <c:pt idx="2">
                  <c:v>Milk</c:v>
                </c:pt>
                <c:pt idx="3">
                  <c:v>Sugar</c:v>
                </c:pt>
                <c:pt idx="4">
                  <c:v>Bread</c:v>
                </c:pt>
                <c:pt idx="5">
                  <c:v>Soft Drink</c:v>
                </c:pt>
                <c:pt idx="6">
                  <c:v>Rice</c:v>
                </c:pt>
                <c:pt idx="7">
                  <c:v>Cooking Oil</c:v>
                </c:pt>
              </c:strCache>
            </c:strRef>
          </c:cat>
          <c:val>
            <c:numRef>
              <c:f>'Pivot Total Revenue'!$B$4:$B$12</c:f>
              <c:numCache>
                <c:formatCode>General</c:formatCode>
                <c:ptCount val="8"/>
                <c:pt idx="0">
                  <c:v>2206400</c:v>
                </c:pt>
                <c:pt idx="1">
                  <c:v>2214700</c:v>
                </c:pt>
                <c:pt idx="2">
                  <c:v>2220800</c:v>
                </c:pt>
                <c:pt idx="3">
                  <c:v>2338000</c:v>
                </c:pt>
                <c:pt idx="4">
                  <c:v>2488600</c:v>
                </c:pt>
                <c:pt idx="5">
                  <c:v>2510700</c:v>
                </c:pt>
                <c:pt idx="6">
                  <c:v>2862700</c:v>
                </c:pt>
                <c:pt idx="7">
                  <c:v>3149800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1-4DA2-8653-17C5F1155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2164015"/>
        <c:axId val="722158607"/>
      </c:barChart>
      <c:catAx>
        <c:axId val="72216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58607"/>
        <c:crosses val="autoZero"/>
        <c:auto val="1"/>
        <c:lblAlgn val="ctr"/>
        <c:lblOffset val="100"/>
        <c:noMultiLvlLbl val="0"/>
      </c:catAx>
      <c:valAx>
        <c:axId val="72215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6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Excel.xlsx]Pivot Best Selling Product!PivotTable4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 Best selling Products</a:t>
            </a:r>
          </a:p>
        </c:rich>
      </c:tx>
      <c:layout>
        <c:manualLayout>
          <c:xMode val="edge"/>
          <c:yMode val="edge"/>
          <c:x val="0.34980377004731833"/>
          <c:y val="0.137766554433221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Best Selling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Best Selling Product'!$A$4:$A$12</c:f>
              <c:strCache>
                <c:ptCount val="8"/>
                <c:pt idx="0">
                  <c:v>Noodles</c:v>
                </c:pt>
                <c:pt idx="1">
                  <c:v>Beans</c:v>
                </c:pt>
                <c:pt idx="2">
                  <c:v>Sugar</c:v>
                </c:pt>
                <c:pt idx="3">
                  <c:v>Milk</c:v>
                </c:pt>
                <c:pt idx="4">
                  <c:v>Bread</c:v>
                </c:pt>
                <c:pt idx="5">
                  <c:v>Soft Drink</c:v>
                </c:pt>
                <c:pt idx="6">
                  <c:v>Rice</c:v>
                </c:pt>
                <c:pt idx="7">
                  <c:v>Cooking Oil</c:v>
                </c:pt>
              </c:strCache>
            </c:strRef>
          </c:cat>
          <c:val>
            <c:numRef>
              <c:f>'Pivot Best Selling Product'!$B$4:$B$12</c:f>
              <c:numCache>
                <c:formatCode>General</c:formatCode>
                <c:ptCount val="8"/>
                <c:pt idx="0">
                  <c:v>520</c:v>
                </c:pt>
                <c:pt idx="1">
                  <c:v>540</c:v>
                </c:pt>
                <c:pt idx="2">
                  <c:v>555</c:v>
                </c:pt>
                <c:pt idx="3">
                  <c:v>638</c:v>
                </c:pt>
                <c:pt idx="4">
                  <c:v>651</c:v>
                </c:pt>
                <c:pt idx="5">
                  <c:v>658</c:v>
                </c:pt>
                <c:pt idx="6">
                  <c:v>778</c:v>
                </c:pt>
                <c:pt idx="7">
                  <c:v>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1-4639-8943-23F6BC5DF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80535103"/>
        <c:axId val="734957855"/>
        <c:axId val="0"/>
      </c:bar3DChart>
      <c:catAx>
        <c:axId val="680535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957855"/>
        <c:crosses val="autoZero"/>
        <c:auto val="1"/>
        <c:lblAlgn val="ctr"/>
        <c:lblOffset val="100"/>
        <c:noMultiLvlLbl val="0"/>
      </c:catAx>
      <c:valAx>
        <c:axId val="73495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53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[Project 1 Excel.xlsx]Pivot Sales By city!PivotTable5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Sales distribution</a:t>
            </a:r>
            <a:r>
              <a:rPr lang="en-US" sz="1200" b="1" baseline="0"/>
              <a:t> </a:t>
            </a:r>
            <a:r>
              <a:rPr lang="en-US" sz="1200"/>
              <a:t> </a:t>
            </a:r>
            <a:r>
              <a:rPr lang="en-US" sz="1200" b="1"/>
              <a:t>By</a:t>
            </a:r>
            <a:r>
              <a:rPr lang="en-US" sz="1200"/>
              <a:t> </a:t>
            </a:r>
            <a:r>
              <a:rPr lang="en-US" sz="1200" b="1"/>
              <a:t>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70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schemeClr val="accent2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70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schemeClr val="accent2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2">
              <a:alpha val="70000"/>
            </a:schemeClr>
          </a:solidFill>
          <a:ln>
            <a:noFill/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schemeClr val="accent2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2">
              <a:alpha val="70000"/>
            </a:schemeClr>
          </a:solidFill>
          <a:ln>
            <a:noFill/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schemeClr val="accent2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2">
              <a:alpha val="70000"/>
            </a:schemeClr>
          </a:solidFill>
          <a:ln>
            <a:noFill/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schemeClr val="accent2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2">
              <a:alpha val="70000"/>
            </a:schemeClr>
          </a:solidFill>
          <a:ln>
            <a:noFill/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schemeClr val="accent2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2">
              <a:alpha val="70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schemeClr val="accent2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alpha val="70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schemeClr val="accent2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alpha val="70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schemeClr val="accent2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alpha val="70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schemeClr val="accent2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alpha val="70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schemeClr val="accent2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alpha val="70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schemeClr val="accent2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schemeClr val="accent2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shade val="53000"/>
              <a:alpha val="90000"/>
            </a:schemeClr>
          </a:solidFill>
          <a:ln w="19050">
            <a:solidFill>
              <a:schemeClr val="accent2">
                <a:shade val="53000"/>
                <a:lumMod val="75000"/>
              </a:schemeClr>
            </a:solidFill>
          </a:ln>
          <a:effectLst>
            <a:innerShdw blurRad="114300">
              <a:schemeClr val="accent2">
                <a:shade val="53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shade val="53000"/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2">
                  <a:shade val="53000"/>
                </a:schemeClr>
              </a:solidFill>
              <a:round/>
            </a:ln>
            <a:effectLst>
              <a:outerShdw blurRad="50800" dist="38100" dir="2700000" algn="tl" rotWithShape="0">
                <a:schemeClr val="accent2">
                  <a:shade val="53000"/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>
                      <a:shade val="53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shade val="76000"/>
              <a:alpha val="90000"/>
            </a:schemeClr>
          </a:solidFill>
          <a:ln w="19050">
            <a:solidFill>
              <a:schemeClr val="accent2">
                <a:shade val="76000"/>
                <a:lumMod val="75000"/>
              </a:schemeClr>
            </a:solidFill>
          </a:ln>
          <a:effectLst>
            <a:innerShdw blurRad="114300">
              <a:schemeClr val="accent2">
                <a:shade val="76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shade val="76000"/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0800" dist="38100" dir="2700000" algn="tl" rotWithShape="0">
                <a:schemeClr val="accent2">
                  <a:shade val="76000"/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>
                      <a:shade val="76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schemeClr val="accent2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>
              <a:tint val="77000"/>
              <a:alpha val="90000"/>
            </a:schemeClr>
          </a:solidFill>
          <a:ln w="19050">
            <a:solidFill>
              <a:schemeClr val="accent2">
                <a:tint val="77000"/>
                <a:lumMod val="75000"/>
              </a:schemeClr>
            </a:solidFill>
          </a:ln>
          <a:effectLst>
            <a:innerShdw blurRad="114300">
              <a:schemeClr val="accent2">
                <a:tint val="77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tint val="77000"/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50800" dist="38100" dir="2700000" algn="tl" rotWithShape="0">
                <a:schemeClr val="accent2">
                  <a:tint val="77000"/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>
                      <a:tint val="77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>
              <a:tint val="54000"/>
              <a:alpha val="90000"/>
            </a:schemeClr>
          </a:solidFill>
          <a:ln w="19050">
            <a:solidFill>
              <a:schemeClr val="accent2">
                <a:tint val="54000"/>
                <a:lumMod val="75000"/>
              </a:schemeClr>
            </a:solidFill>
          </a:ln>
          <a:effectLst>
            <a:innerShdw blurRad="114300">
              <a:schemeClr val="accent2">
                <a:tint val="54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tint val="54000"/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2">
                  <a:tint val="54000"/>
                </a:schemeClr>
              </a:solidFill>
              <a:round/>
            </a:ln>
            <a:effectLst>
              <a:outerShdw blurRad="50800" dist="38100" dir="2700000" algn="tl" rotWithShape="0">
                <a:schemeClr val="accent2">
                  <a:tint val="54000"/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>
                      <a:tint val="54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28590077282006415"/>
          <c:w val="0.93888888888888888"/>
          <c:h val="0.66317330125400986"/>
        </c:manualLayout>
      </c:layout>
      <c:pie3DChart>
        <c:varyColors val="1"/>
        <c:ser>
          <c:idx val="0"/>
          <c:order val="0"/>
          <c:tx>
            <c:strRef>
              <c:f>'Pivot Sales By city'!$B$3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3000"/>
                  <a:alpha val="90000"/>
                </a:schemeClr>
              </a:solidFill>
              <a:ln w="19050">
                <a:solidFill>
                  <a:schemeClr val="accent2">
                    <a:shade val="53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shade val="53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shade val="53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DDB-46DB-A71F-66DE6464237D}"/>
              </c:ext>
            </c:extLst>
          </c:dPt>
          <c:dPt>
            <c:idx val="1"/>
            <c:bubble3D val="0"/>
            <c:spPr>
              <a:solidFill>
                <a:schemeClr val="accent2">
                  <a:shade val="76000"/>
                  <a:alpha val="90000"/>
                </a:schemeClr>
              </a:solidFill>
              <a:ln w="19050">
                <a:solidFill>
                  <a:schemeClr val="accent2">
                    <a:shade val="76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shade val="76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shade val="76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DDB-46DB-A71F-66DE6464237D}"/>
              </c:ext>
            </c:extLst>
          </c:dPt>
          <c:dPt>
            <c:idx val="2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DDB-46DB-A71F-66DE6464237D}"/>
              </c:ext>
            </c:extLst>
          </c:dPt>
          <c:dPt>
            <c:idx val="3"/>
            <c:bubble3D val="0"/>
            <c:spPr>
              <a:solidFill>
                <a:schemeClr val="accent2">
                  <a:tint val="77000"/>
                  <a:alpha val="90000"/>
                </a:schemeClr>
              </a:solidFill>
              <a:ln w="19050">
                <a:solidFill>
                  <a:schemeClr val="accent2">
                    <a:tint val="77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tint val="77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tint val="77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DDB-46DB-A71F-66DE6464237D}"/>
              </c:ext>
            </c:extLst>
          </c:dPt>
          <c:dPt>
            <c:idx val="4"/>
            <c:bubble3D val="0"/>
            <c:spPr>
              <a:solidFill>
                <a:schemeClr val="accent2">
                  <a:tint val="54000"/>
                  <a:alpha val="90000"/>
                </a:schemeClr>
              </a:solidFill>
              <a:ln w="19050">
                <a:solidFill>
                  <a:schemeClr val="accent2">
                    <a:tint val="54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tint val="54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tint val="54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DDB-46DB-A71F-66DE6464237D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>
                      <a:shade val="53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shade val="53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>
                          <a:shade val="53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DDB-46DB-A71F-66DE6464237D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>
                      <a:shade val="76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shade val="76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>
                          <a:shade val="76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DDB-46DB-A71F-66DE6464237D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DDB-46DB-A71F-66DE6464237D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>
                      <a:tint val="77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tint val="77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>
                          <a:tint val="77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DDDB-46DB-A71F-66DE6464237D}"/>
                </c:ext>
              </c:extLst>
            </c:dLbl>
            <c:dLbl>
              <c:idx val="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>
                      <a:tint val="54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tint val="54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>
                          <a:tint val="54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DDDB-46DB-A71F-66DE6464237D}"/>
                </c:ext>
              </c:extLst>
            </c:dLbl>
            <c:spPr/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Sales By city'!$A$4:$A$9</c:f>
              <c:strCache>
                <c:ptCount val="5"/>
                <c:pt idx="0">
                  <c:v>Lagos</c:v>
                </c:pt>
                <c:pt idx="1">
                  <c:v>Kano</c:v>
                </c:pt>
                <c:pt idx="2">
                  <c:v>Abuja</c:v>
                </c:pt>
                <c:pt idx="3">
                  <c:v>Port Harcourt</c:v>
                </c:pt>
                <c:pt idx="4">
                  <c:v>Ibadan</c:v>
                </c:pt>
              </c:strCache>
            </c:strRef>
          </c:cat>
          <c:val>
            <c:numRef>
              <c:f>'Pivot Sales By city'!$B$4:$B$9</c:f>
              <c:numCache>
                <c:formatCode>General</c:formatCode>
                <c:ptCount val="5"/>
                <c:pt idx="0">
                  <c:v>4407000</c:v>
                </c:pt>
                <c:pt idx="1">
                  <c:v>4218700</c:v>
                </c:pt>
                <c:pt idx="2">
                  <c:v>4173700</c:v>
                </c:pt>
                <c:pt idx="3">
                  <c:v>3643700</c:v>
                </c:pt>
                <c:pt idx="4">
                  <c:v>3548600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DDB-46DB-A71F-66DE6464237D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Excel.xlsx]Pivot Daily Sales Trend!PivotTable7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Daily</a:t>
            </a:r>
            <a:r>
              <a:rPr lang="en-US" sz="1200" baseline="0"/>
              <a:t> </a:t>
            </a:r>
            <a:r>
              <a:rPr lang="en-US" sz="1200" b="1" baseline="0"/>
              <a:t>Sales</a:t>
            </a:r>
            <a:r>
              <a:rPr lang="en-US" sz="1200" baseline="0"/>
              <a:t> </a:t>
            </a:r>
            <a:r>
              <a:rPr lang="en-US" sz="1200" b="1" baseline="0"/>
              <a:t>Trend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696681513424065"/>
          <c:y val="0.26260095580358161"/>
          <c:w val="0.62546334774296053"/>
          <c:h val="0.39551387738665977"/>
        </c:manualLayout>
      </c:layout>
      <c:line3DChart>
        <c:grouping val="standard"/>
        <c:varyColors val="0"/>
        <c:ser>
          <c:idx val="0"/>
          <c:order val="0"/>
          <c:tx>
            <c:strRef>
              <c:f>'Pivot Daily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'Pivot Daily Sales Trend'!$A$4:$A$32</c:f>
              <c:strCache>
                <c:ptCount val="28"/>
                <c:pt idx="0">
                  <c:v>1/1/2025</c:v>
                </c:pt>
                <c:pt idx="1">
                  <c:v>1/2/2025</c:v>
                </c:pt>
                <c:pt idx="2">
                  <c:v>1/3/2025</c:v>
                </c:pt>
                <c:pt idx="3">
                  <c:v>1/4/2025</c:v>
                </c:pt>
                <c:pt idx="4">
                  <c:v>1/5/2025</c:v>
                </c:pt>
                <c:pt idx="5">
                  <c:v>1/6/2025</c:v>
                </c:pt>
                <c:pt idx="6">
                  <c:v>1/7/2025</c:v>
                </c:pt>
                <c:pt idx="7">
                  <c:v>1/8/2025</c:v>
                </c:pt>
                <c:pt idx="8">
                  <c:v>1/9/2025</c:v>
                </c:pt>
                <c:pt idx="9">
                  <c:v>1/10/2025</c:v>
                </c:pt>
                <c:pt idx="10">
                  <c:v>1/11/2025</c:v>
                </c:pt>
                <c:pt idx="11">
                  <c:v>1/12/2025</c:v>
                </c:pt>
                <c:pt idx="12">
                  <c:v>1/13/2025</c:v>
                </c:pt>
                <c:pt idx="13">
                  <c:v>1/14/2025</c:v>
                </c:pt>
                <c:pt idx="14">
                  <c:v>1/15/2025</c:v>
                </c:pt>
                <c:pt idx="15">
                  <c:v>1/16/2025</c:v>
                </c:pt>
                <c:pt idx="16">
                  <c:v>1/17/2025</c:v>
                </c:pt>
                <c:pt idx="17">
                  <c:v>1/18/2025</c:v>
                </c:pt>
                <c:pt idx="18">
                  <c:v>1/19/2025</c:v>
                </c:pt>
                <c:pt idx="19">
                  <c:v>1/20/2025</c:v>
                </c:pt>
                <c:pt idx="20">
                  <c:v>1/21/2025</c:v>
                </c:pt>
                <c:pt idx="21">
                  <c:v>1/22/2025</c:v>
                </c:pt>
                <c:pt idx="22">
                  <c:v>1/23/2025</c:v>
                </c:pt>
                <c:pt idx="23">
                  <c:v>1/24/2025</c:v>
                </c:pt>
                <c:pt idx="24">
                  <c:v>1/25/2025</c:v>
                </c:pt>
                <c:pt idx="25">
                  <c:v>1/26/2025</c:v>
                </c:pt>
                <c:pt idx="26">
                  <c:v>1/27/2025</c:v>
                </c:pt>
                <c:pt idx="27">
                  <c:v>1/28/2025</c:v>
                </c:pt>
              </c:strCache>
            </c:strRef>
          </c:cat>
          <c:val>
            <c:numRef>
              <c:f>'Pivot Daily Sales Trend'!$B$4:$B$32</c:f>
              <c:numCache>
                <c:formatCode>General</c:formatCode>
                <c:ptCount val="28"/>
                <c:pt idx="0">
                  <c:v>701000</c:v>
                </c:pt>
                <c:pt idx="1">
                  <c:v>666500</c:v>
                </c:pt>
                <c:pt idx="2">
                  <c:v>753300</c:v>
                </c:pt>
                <c:pt idx="3">
                  <c:v>625400</c:v>
                </c:pt>
                <c:pt idx="4">
                  <c:v>499700</c:v>
                </c:pt>
                <c:pt idx="5">
                  <c:v>825000</c:v>
                </c:pt>
                <c:pt idx="6">
                  <c:v>392300</c:v>
                </c:pt>
                <c:pt idx="7">
                  <c:v>783700</c:v>
                </c:pt>
                <c:pt idx="8">
                  <c:v>1083500</c:v>
                </c:pt>
                <c:pt idx="9">
                  <c:v>424200</c:v>
                </c:pt>
                <c:pt idx="10">
                  <c:v>738100</c:v>
                </c:pt>
                <c:pt idx="11">
                  <c:v>643100</c:v>
                </c:pt>
                <c:pt idx="12">
                  <c:v>1005700</c:v>
                </c:pt>
                <c:pt idx="13">
                  <c:v>694200</c:v>
                </c:pt>
                <c:pt idx="14">
                  <c:v>956400</c:v>
                </c:pt>
                <c:pt idx="15">
                  <c:v>565400</c:v>
                </c:pt>
                <c:pt idx="16">
                  <c:v>223200</c:v>
                </c:pt>
                <c:pt idx="17">
                  <c:v>586900</c:v>
                </c:pt>
                <c:pt idx="18">
                  <c:v>582100</c:v>
                </c:pt>
                <c:pt idx="19">
                  <c:v>948100</c:v>
                </c:pt>
                <c:pt idx="20">
                  <c:v>942400</c:v>
                </c:pt>
                <c:pt idx="21">
                  <c:v>814300</c:v>
                </c:pt>
                <c:pt idx="22">
                  <c:v>702400</c:v>
                </c:pt>
                <c:pt idx="23">
                  <c:v>661000</c:v>
                </c:pt>
                <c:pt idx="24">
                  <c:v>948200</c:v>
                </c:pt>
                <c:pt idx="25">
                  <c:v>881000</c:v>
                </c:pt>
                <c:pt idx="26">
                  <c:v>684100</c:v>
                </c:pt>
                <c:pt idx="27">
                  <c:v>660500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E2-4F51-9BD0-5D895C2FE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706575"/>
        <c:axId val="611708239"/>
        <c:axId val="956436287"/>
      </c:line3DChart>
      <c:catAx>
        <c:axId val="611706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8239"/>
        <c:crosses val="autoZero"/>
        <c:auto val="1"/>
        <c:lblAlgn val="ctr"/>
        <c:lblOffset val="100"/>
        <c:noMultiLvlLbl val="0"/>
      </c:catAx>
      <c:valAx>
        <c:axId val="61170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6575"/>
        <c:crosses val="autoZero"/>
        <c:crossBetween val="between"/>
      </c:valAx>
      <c:serAx>
        <c:axId val="9564362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823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Excel.xlsx]Pivot Sales By Category!PivotTable8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Sales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56-48F8-934F-7A31E25E36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56-48F8-934F-7A31E25E36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56-48F8-934F-7A31E25E3610}"/>
              </c:ext>
            </c:extLst>
          </c:dPt>
          <c:cat>
            <c:strRef>
              <c:f>'Pivot Sales By Category'!$A$4:$A$7</c:f>
              <c:strCache>
                <c:ptCount val="3"/>
                <c:pt idx="0">
                  <c:v>Beverage</c:v>
                </c:pt>
                <c:pt idx="1">
                  <c:v>Food</c:v>
                </c:pt>
                <c:pt idx="2">
                  <c:v>Household</c:v>
                </c:pt>
              </c:strCache>
            </c:strRef>
          </c:cat>
          <c:val>
            <c:numRef>
              <c:f>'Pivot Sales By Category'!$B$4:$B$7</c:f>
              <c:numCache>
                <c:formatCode>General</c:formatCode>
                <c:ptCount val="3"/>
                <c:pt idx="0">
                  <c:v>6753000</c:v>
                </c:pt>
                <c:pt idx="1">
                  <c:v>7465200</c:v>
                </c:pt>
                <c:pt idx="2">
                  <c:v>5773500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56-48F8-934F-7A31E25E3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242066</xdr:rowOff>
    </xdr:from>
    <xdr:to>
      <xdr:col>5</xdr:col>
      <xdr:colOff>24660</xdr:colOff>
      <xdr:row>18</xdr:row>
      <xdr:rowOff>180906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3E7881-21DB-40E0-A065-2E61575B6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7</xdr:row>
      <xdr:rowOff>0</xdr:rowOff>
    </xdr:from>
    <xdr:to>
      <xdr:col>14</xdr:col>
      <xdr:colOff>460655</xdr:colOff>
      <xdr:row>18</xdr:row>
      <xdr:rowOff>180906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6F2E59-05D7-4D39-9F70-8457B1152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118556</xdr:colOff>
      <xdr:row>7</xdr:row>
      <xdr:rowOff>0</xdr:rowOff>
    </xdr:from>
    <xdr:to>
      <xdr:col>8</xdr:col>
      <xdr:colOff>49818</xdr:colOff>
      <xdr:row>18</xdr:row>
      <xdr:rowOff>180906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C5BD5D-2DE0-4A58-AE17-D446FF1C3D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1013628</xdr:colOff>
      <xdr:row>20</xdr:row>
      <xdr:rowOff>73527</xdr:rowOff>
    </xdr:from>
    <xdr:to>
      <xdr:col>9</xdr:col>
      <xdr:colOff>504440</xdr:colOff>
      <xdr:row>33</xdr:row>
      <xdr:rowOff>73526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E6D10F-D30F-46E0-91D6-6C45D8DA9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</xdr:colOff>
      <xdr:row>23</xdr:row>
      <xdr:rowOff>0</xdr:rowOff>
    </xdr:from>
    <xdr:to>
      <xdr:col>5</xdr:col>
      <xdr:colOff>118557</xdr:colOff>
      <xdr:row>35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73A5550-3EFA-41E4-A4EE-D7B2BB902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284515</xdr:colOff>
      <xdr:row>22</xdr:row>
      <xdr:rowOff>45063</xdr:rowOff>
    </xdr:from>
    <xdr:to>
      <xdr:col>15</xdr:col>
      <xdr:colOff>0</xdr:colOff>
      <xdr:row>27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8D79771-54F5-4E4D-8B15-7F44E95C32E8}"/>
            </a:ext>
          </a:extLst>
        </xdr:cNvPr>
        <xdr:cNvSpPr txBox="1"/>
      </xdr:nvSpPr>
      <xdr:spPr>
        <a:xfrm>
          <a:off x="8038199" y="4737379"/>
          <a:ext cx="2756801" cy="890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Cooking Oil</a:t>
          </a:r>
          <a:r>
            <a:rPr lang="en-US" sz="1100" baseline="0"/>
            <a:t> is </a:t>
          </a:r>
          <a:r>
            <a:rPr lang="en-US" sz="1100" b="1" baseline="0"/>
            <a:t>top-selling product </a:t>
          </a:r>
          <a:r>
            <a:rPr lang="en-US" sz="1100" baseline="0"/>
            <a:t>by quantity</a:t>
          </a:r>
        </a:p>
        <a:p>
          <a:r>
            <a:rPr lang="en-US" sz="1100" baseline="0"/>
            <a:t>Lagos generates </a:t>
          </a:r>
          <a:r>
            <a:rPr lang="en-US" sz="1100" b="1" baseline="0"/>
            <a:t>the highest revenue</a:t>
          </a:r>
        </a:p>
        <a:p>
          <a:r>
            <a:rPr lang="en-US" sz="1100" b="1" baseline="0"/>
            <a:t>Food category contributes the most to sales</a:t>
          </a:r>
        </a:p>
        <a:p>
          <a:r>
            <a:rPr lang="en-US" sz="1100" baseline="0"/>
            <a:t>Sales are </a:t>
          </a:r>
          <a:r>
            <a:rPr lang="en-US" sz="1100" b="1" baseline="0"/>
            <a:t>consistent across major cities</a:t>
          </a:r>
          <a:endParaRPr lang="en-US" sz="1100" b="1"/>
        </a:p>
      </xdr:txBody>
    </xdr:sp>
    <xdr:clientData/>
  </xdr:twoCellAnchor>
  <xdr:twoCellAnchor>
    <xdr:from>
      <xdr:col>0</xdr:col>
      <xdr:colOff>437487</xdr:colOff>
      <xdr:row>2</xdr:row>
      <xdr:rowOff>178039</xdr:rowOff>
    </xdr:from>
    <xdr:to>
      <xdr:col>3</xdr:col>
      <xdr:colOff>200274</xdr:colOff>
      <xdr:row>5</xdr:row>
      <xdr:rowOff>207713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7CE91DD-440D-4AB3-B4FB-7E8408F0E62C}"/>
            </a:ext>
          </a:extLst>
        </xdr:cNvPr>
        <xdr:cNvSpPr/>
      </xdr:nvSpPr>
      <xdr:spPr>
        <a:xfrm>
          <a:off x="437487" y="724020"/>
          <a:ext cx="1596572" cy="830843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accent2"/>
              </a:solidFill>
            </a:rPr>
            <a:t>Total Orders</a:t>
          </a:r>
        </a:p>
        <a:p>
          <a:pPr algn="l"/>
          <a:r>
            <a:rPr lang="en-US" sz="2000">
              <a:solidFill>
                <a:schemeClr val="accent2"/>
              </a:solidFill>
            </a:rPr>
            <a:t>499</a:t>
          </a:r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379812</xdr:colOff>
      <xdr:row>2</xdr:row>
      <xdr:rowOff>100889</xdr:rowOff>
    </xdr:from>
    <xdr:to>
      <xdr:col>14</xdr:col>
      <xdr:colOff>89019</xdr:colOff>
      <xdr:row>5</xdr:row>
      <xdr:rowOff>100890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37095EE-D950-4DF8-9AF8-789AE5984DF6}"/>
            </a:ext>
          </a:extLst>
        </xdr:cNvPr>
        <xdr:cNvSpPr/>
      </xdr:nvSpPr>
      <xdr:spPr>
        <a:xfrm>
          <a:off x="8160046" y="646870"/>
          <a:ext cx="2154253" cy="80117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accent2"/>
              </a:solidFill>
            </a:rPr>
            <a:t>Average</a:t>
          </a:r>
          <a:r>
            <a:rPr lang="en-US" sz="1100" baseline="0">
              <a:solidFill>
                <a:schemeClr val="accent2"/>
              </a:solidFill>
            </a:rPr>
            <a:t> Order</a:t>
          </a:r>
        </a:p>
        <a:p>
          <a:pPr algn="l"/>
          <a:r>
            <a:rPr lang="en-US" sz="2000">
              <a:solidFill>
                <a:schemeClr val="accent2"/>
              </a:solidFill>
            </a:rPr>
            <a:t>38,837</a:t>
          </a:r>
        </a:p>
      </xdr:txBody>
    </xdr:sp>
    <xdr:clientData/>
  </xdr:twoCellAnchor>
  <xdr:twoCellAnchor>
    <xdr:from>
      <xdr:col>6</xdr:col>
      <xdr:colOff>1032274</xdr:colOff>
      <xdr:row>2</xdr:row>
      <xdr:rowOff>124627</xdr:rowOff>
    </xdr:from>
    <xdr:to>
      <xdr:col>9</xdr:col>
      <xdr:colOff>254843</xdr:colOff>
      <xdr:row>5</xdr:row>
      <xdr:rowOff>124627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BD30580-0456-44BF-A12D-313BF01EFA14}"/>
            </a:ext>
          </a:extLst>
        </xdr:cNvPr>
        <xdr:cNvSpPr/>
      </xdr:nvSpPr>
      <xdr:spPr>
        <a:xfrm>
          <a:off x="5590031" y="670608"/>
          <a:ext cx="1833784" cy="801169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accent2"/>
              </a:solidFill>
            </a:rPr>
            <a:t>Top Selling</a:t>
          </a:r>
          <a:r>
            <a:rPr lang="en-US" sz="1100" baseline="0">
              <a:solidFill>
                <a:schemeClr val="accent2"/>
              </a:solidFill>
            </a:rPr>
            <a:t> Product</a:t>
          </a:r>
        </a:p>
        <a:p>
          <a:pPr algn="l"/>
          <a:r>
            <a:rPr lang="en-US" sz="1600" baseline="0">
              <a:solidFill>
                <a:schemeClr val="accent2"/>
              </a:solidFill>
            </a:rPr>
            <a:t>Cooking Oil</a:t>
          </a:r>
          <a:endParaRPr lang="en-US" sz="1600">
            <a:solidFill>
              <a:schemeClr val="accent2"/>
            </a:solidFill>
          </a:endParaRPr>
        </a:p>
      </xdr:txBody>
    </xdr:sp>
    <xdr:clientData/>
  </xdr:twoCellAnchor>
  <xdr:twoCellAnchor>
    <xdr:from>
      <xdr:col>4</xdr:col>
      <xdr:colOff>345127</xdr:colOff>
      <xdr:row>2</xdr:row>
      <xdr:rowOff>124627</xdr:rowOff>
    </xdr:from>
    <xdr:to>
      <xdr:col>6</xdr:col>
      <xdr:colOff>379813</xdr:colOff>
      <xdr:row>5</xdr:row>
      <xdr:rowOff>160237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66C8ABA-773D-4707-9F6A-35C67D4624B0}"/>
            </a:ext>
          </a:extLst>
        </xdr:cNvPr>
        <xdr:cNvSpPr/>
      </xdr:nvSpPr>
      <xdr:spPr>
        <a:xfrm>
          <a:off x="2790174" y="670608"/>
          <a:ext cx="2147396" cy="836779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accent2"/>
              </a:solidFill>
            </a:rPr>
            <a:t>Highest Revenue City</a:t>
          </a:r>
        </a:p>
        <a:p>
          <a:pPr algn="l"/>
          <a:r>
            <a:rPr lang="en-US" sz="1600">
              <a:solidFill>
                <a:schemeClr val="accent2"/>
              </a:solidFill>
            </a:rPr>
            <a:t>Lagos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9.428702083336" createdVersion="7" refreshedVersion="7" minRefreshableVersion="3" recordCount="499" xr:uid="{35FCBF25-3D5C-49B5-8668-705DC9127248}">
  <cacheSource type="worksheet">
    <worksheetSource ref="A1:H500" sheet="Raw Data"/>
  </cacheSource>
  <cacheFields count="8">
    <cacheField name="Date" numFmtId="14">
      <sharedItems containsSemiMixedTypes="0" containsNonDate="0" containsDate="1" containsString="0" minDate="2025-01-01T00:00:00" maxDate="2025-01-29T00:00:00" count="28">
        <d v="2025-01-12T00:00:00"/>
        <d v="2025-01-08T00:00:00"/>
        <d v="2025-01-07T00:00:00"/>
        <d v="2025-01-18T00:00:00"/>
        <d v="2025-01-15T00:00:00"/>
        <d v="2025-01-20T00:00:00"/>
        <d v="2025-01-24T00:00:00"/>
        <d v="2025-01-25T00:00:00"/>
        <d v="2025-01-10T00:00:00"/>
        <d v="2025-01-04T00:00:00"/>
        <d v="2025-01-26T00:00:00"/>
        <d v="2025-01-03T00:00:00"/>
        <d v="2025-01-11T00:00:00"/>
        <d v="2025-01-27T00:00:00"/>
        <d v="2025-01-09T00:00:00"/>
        <d v="2025-01-01T00:00:00"/>
        <d v="2025-01-16T00:00:00"/>
        <d v="2025-01-05T00:00:00"/>
        <d v="2025-01-28T00:00:00"/>
        <d v="2025-01-06T00:00:00"/>
        <d v="2025-01-19T00:00:00"/>
        <d v="2025-01-13T00:00:00"/>
        <d v="2025-01-14T00:00:00"/>
        <d v="2025-01-21T00:00:00"/>
        <d v="2025-01-23T00:00:00"/>
        <d v="2025-01-02T00:00:00"/>
        <d v="2025-01-22T00:00:00"/>
        <d v="2025-01-17T00:00:00"/>
      </sharedItems>
    </cacheField>
    <cacheField name="Order_ID" numFmtId="0">
      <sharedItems containsSemiMixedTypes="0" containsString="0" containsNumber="1" containsInteger="1" minValue="1001" maxValue="1499"/>
    </cacheField>
    <cacheField name="Product" numFmtId="0">
      <sharedItems count="8">
        <s v="Noodles"/>
        <s v="Rice"/>
        <s v="Cooking Oil"/>
        <s v="Milk"/>
        <s v="Bread"/>
        <s v="Soft Drink"/>
        <s v="Sugar"/>
        <s v="Beans"/>
      </sharedItems>
    </cacheField>
    <cacheField name="Category" numFmtId="0">
      <sharedItems count="3">
        <s v="Food"/>
        <s v="Beverage"/>
        <s v="Household"/>
      </sharedItems>
    </cacheField>
    <cacheField name="City" numFmtId="0">
      <sharedItems count="5">
        <s v="Port Harcourt"/>
        <s v="Kano"/>
        <s v="Lagos"/>
        <s v="Ibadan"/>
        <s v="Abuja"/>
      </sharedItems>
    </cacheField>
    <cacheField name="Quantity" numFmtId="0">
      <sharedItems containsSemiMixedTypes="0" containsString="0" containsNumber="1" containsInteger="1" minValue="1" maxValue="20"/>
    </cacheField>
    <cacheField name="Unit_Price" numFmtId="0">
      <sharedItems containsSemiMixedTypes="0" containsString="0" containsNumber="1" containsInteger="1" minValue="500" maxValue="7000"/>
    </cacheField>
    <cacheField name="Total_Sales" numFmtId="0">
      <sharedItems containsSemiMixedTypes="0" containsString="0" containsNumber="1" containsInteger="1" minValue="600" maxValue="13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x v="0"/>
    <n v="1001"/>
    <x v="0"/>
    <x v="0"/>
    <x v="0"/>
    <n v="10"/>
    <n v="3700"/>
    <n v="37000"/>
  </r>
  <r>
    <x v="1"/>
    <n v="1002"/>
    <x v="1"/>
    <x v="1"/>
    <x v="1"/>
    <n v="12"/>
    <n v="5300"/>
    <n v="63600"/>
  </r>
  <r>
    <x v="2"/>
    <n v="1003"/>
    <x v="1"/>
    <x v="0"/>
    <x v="1"/>
    <n v="3"/>
    <n v="5500"/>
    <n v="16500"/>
  </r>
  <r>
    <x v="3"/>
    <n v="1004"/>
    <x v="2"/>
    <x v="1"/>
    <x v="1"/>
    <n v="7"/>
    <n v="2200"/>
    <n v="15400"/>
  </r>
  <r>
    <x v="4"/>
    <n v="1005"/>
    <x v="3"/>
    <x v="1"/>
    <x v="2"/>
    <n v="11"/>
    <n v="2300"/>
    <n v="25300"/>
  </r>
  <r>
    <x v="4"/>
    <n v="1006"/>
    <x v="4"/>
    <x v="1"/>
    <x v="1"/>
    <n v="3"/>
    <n v="5400"/>
    <n v="16200"/>
  </r>
  <r>
    <x v="5"/>
    <n v="1007"/>
    <x v="5"/>
    <x v="1"/>
    <x v="0"/>
    <n v="14"/>
    <n v="2100"/>
    <n v="29400"/>
  </r>
  <r>
    <x v="6"/>
    <n v="1008"/>
    <x v="6"/>
    <x v="1"/>
    <x v="3"/>
    <n v="11"/>
    <n v="2900"/>
    <n v="31900"/>
  </r>
  <r>
    <x v="7"/>
    <n v="1009"/>
    <x v="1"/>
    <x v="1"/>
    <x v="3"/>
    <n v="10"/>
    <n v="700"/>
    <n v="7000"/>
  </r>
  <r>
    <x v="8"/>
    <n v="1010"/>
    <x v="0"/>
    <x v="0"/>
    <x v="0"/>
    <n v="15"/>
    <n v="4100"/>
    <n v="61500"/>
  </r>
  <r>
    <x v="9"/>
    <n v="1011"/>
    <x v="2"/>
    <x v="0"/>
    <x v="4"/>
    <n v="16"/>
    <n v="6300"/>
    <n v="100800"/>
  </r>
  <r>
    <x v="10"/>
    <n v="1012"/>
    <x v="4"/>
    <x v="2"/>
    <x v="3"/>
    <n v="17"/>
    <n v="600"/>
    <n v="10200"/>
  </r>
  <r>
    <x v="10"/>
    <n v="1013"/>
    <x v="7"/>
    <x v="0"/>
    <x v="3"/>
    <n v="7"/>
    <n v="1000"/>
    <n v="7000"/>
  </r>
  <r>
    <x v="6"/>
    <n v="1014"/>
    <x v="5"/>
    <x v="2"/>
    <x v="2"/>
    <n v="5"/>
    <n v="3200"/>
    <n v="16000"/>
  </r>
  <r>
    <x v="11"/>
    <n v="1015"/>
    <x v="1"/>
    <x v="1"/>
    <x v="3"/>
    <n v="15"/>
    <n v="2300"/>
    <n v="34500"/>
  </r>
  <r>
    <x v="2"/>
    <n v="1016"/>
    <x v="4"/>
    <x v="1"/>
    <x v="0"/>
    <n v="11"/>
    <n v="3500"/>
    <n v="38500"/>
  </r>
  <r>
    <x v="12"/>
    <n v="1017"/>
    <x v="2"/>
    <x v="2"/>
    <x v="1"/>
    <n v="18"/>
    <n v="2600"/>
    <n v="46800"/>
  </r>
  <r>
    <x v="2"/>
    <n v="1018"/>
    <x v="6"/>
    <x v="0"/>
    <x v="4"/>
    <n v="3"/>
    <n v="6900"/>
    <n v="20700"/>
  </r>
  <r>
    <x v="13"/>
    <n v="1019"/>
    <x v="4"/>
    <x v="1"/>
    <x v="1"/>
    <n v="20"/>
    <n v="4400"/>
    <n v="88000"/>
  </r>
  <r>
    <x v="5"/>
    <n v="1020"/>
    <x v="3"/>
    <x v="0"/>
    <x v="3"/>
    <n v="20"/>
    <n v="4700"/>
    <n v="94000"/>
  </r>
  <r>
    <x v="14"/>
    <n v="1021"/>
    <x v="3"/>
    <x v="0"/>
    <x v="4"/>
    <n v="13"/>
    <n v="1200"/>
    <n v="15600"/>
  </r>
  <r>
    <x v="4"/>
    <n v="1022"/>
    <x v="1"/>
    <x v="2"/>
    <x v="4"/>
    <n v="11"/>
    <n v="1200"/>
    <n v="13200"/>
  </r>
  <r>
    <x v="6"/>
    <n v="1023"/>
    <x v="6"/>
    <x v="2"/>
    <x v="2"/>
    <n v="9"/>
    <n v="1700"/>
    <n v="15300"/>
  </r>
  <r>
    <x v="14"/>
    <n v="1024"/>
    <x v="1"/>
    <x v="1"/>
    <x v="0"/>
    <n v="14"/>
    <n v="3400"/>
    <n v="47600"/>
  </r>
  <r>
    <x v="15"/>
    <n v="1025"/>
    <x v="6"/>
    <x v="1"/>
    <x v="0"/>
    <n v="10"/>
    <n v="5000"/>
    <n v="50000"/>
  </r>
  <r>
    <x v="14"/>
    <n v="1026"/>
    <x v="2"/>
    <x v="0"/>
    <x v="1"/>
    <n v="7"/>
    <n v="4700"/>
    <n v="32900"/>
  </r>
  <r>
    <x v="15"/>
    <n v="1027"/>
    <x v="3"/>
    <x v="0"/>
    <x v="0"/>
    <n v="1"/>
    <n v="2600"/>
    <n v="2600"/>
  </r>
  <r>
    <x v="7"/>
    <n v="1028"/>
    <x v="3"/>
    <x v="1"/>
    <x v="4"/>
    <n v="10"/>
    <n v="3900"/>
    <n v="39000"/>
  </r>
  <r>
    <x v="4"/>
    <n v="1029"/>
    <x v="6"/>
    <x v="2"/>
    <x v="4"/>
    <n v="3"/>
    <n v="5400"/>
    <n v="16200"/>
  </r>
  <r>
    <x v="16"/>
    <n v="1030"/>
    <x v="3"/>
    <x v="2"/>
    <x v="2"/>
    <n v="13"/>
    <n v="4400"/>
    <n v="57200"/>
  </r>
  <r>
    <x v="12"/>
    <n v="1031"/>
    <x v="2"/>
    <x v="1"/>
    <x v="0"/>
    <n v="3"/>
    <n v="4900"/>
    <n v="14700"/>
  </r>
  <r>
    <x v="10"/>
    <n v="1032"/>
    <x v="5"/>
    <x v="2"/>
    <x v="0"/>
    <n v="10"/>
    <n v="6800"/>
    <n v="68000"/>
  </r>
  <r>
    <x v="17"/>
    <n v="1033"/>
    <x v="0"/>
    <x v="0"/>
    <x v="2"/>
    <n v="5"/>
    <n v="3700"/>
    <n v="18500"/>
  </r>
  <r>
    <x v="17"/>
    <n v="1034"/>
    <x v="2"/>
    <x v="1"/>
    <x v="1"/>
    <n v="11"/>
    <n v="4800"/>
    <n v="52800"/>
  </r>
  <r>
    <x v="18"/>
    <n v="1035"/>
    <x v="2"/>
    <x v="2"/>
    <x v="3"/>
    <n v="17"/>
    <n v="3500"/>
    <n v="59500"/>
  </r>
  <r>
    <x v="19"/>
    <n v="1036"/>
    <x v="0"/>
    <x v="2"/>
    <x v="0"/>
    <n v="15"/>
    <n v="2500"/>
    <n v="37500"/>
  </r>
  <r>
    <x v="20"/>
    <n v="1037"/>
    <x v="0"/>
    <x v="0"/>
    <x v="4"/>
    <n v="12"/>
    <n v="5200"/>
    <n v="62400"/>
  </r>
  <r>
    <x v="3"/>
    <n v="1038"/>
    <x v="5"/>
    <x v="1"/>
    <x v="0"/>
    <n v="5"/>
    <n v="3800"/>
    <n v="19000"/>
  </r>
  <r>
    <x v="10"/>
    <n v="1039"/>
    <x v="0"/>
    <x v="1"/>
    <x v="0"/>
    <n v="17"/>
    <n v="2300"/>
    <n v="39100"/>
  </r>
  <r>
    <x v="7"/>
    <n v="1040"/>
    <x v="3"/>
    <x v="1"/>
    <x v="4"/>
    <n v="6"/>
    <n v="2100"/>
    <n v="12600"/>
  </r>
  <r>
    <x v="9"/>
    <n v="1041"/>
    <x v="2"/>
    <x v="0"/>
    <x v="0"/>
    <n v="5"/>
    <n v="4300"/>
    <n v="21500"/>
  </r>
  <r>
    <x v="12"/>
    <n v="1042"/>
    <x v="2"/>
    <x v="0"/>
    <x v="3"/>
    <n v="9"/>
    <n v="2700"/>
    <n v="24300"/>
  </r>
  <r>
    <x v="21"/>
    <n v="1043"/>
    <x v="2"/>
    <x v="2"/>
    <x v="1"/>
    <n v="6"/>
    <n v="800"/>
    <n v="4800"/>
  </r>
  <r>
    <x v="7"/>
    <n v="1044"/>
    <x v="2"/>
    <x v="2"/>
    <x v="2"/>
    <n v="13"/>
    <n v="6700"/>
    <n v="87100"/>
  </r>
  <r>
    <x v="6"/>
    <n v="1045"/>
    <x v="7"/>
    <x v="1"/>
    <x v="1"/>
    <n v="11"/>
    <n v="4800"/>
    <n v="52800"/>
  </r>
  <r>
    <x v="1"/>
    <n v="1046"/>
    <x v="0"/>
    <x v="1"/>
    <x v="2"/>
    <n v="11"/>
    <n v="4000"/>
    <n v="44000"/>
  </r>
  <r>
    <x v="15"/>
    <n v="1047"/>
    <x v="0"/>
    <x v="0"/>
    <x v="1"/>
    <n v="18"/>
    <n v="4900"/>
    <n v="88200"/>
  </r>
  <r>
    <x v="22"/>
    <n v="1048"/>
    <x v="5"/>
    <x v="0"/>
    <x v="2"/>
    <n v="8"/>
    <n v="600"/>
    <n v="4800"/>
  </r>
  <r>
    <x v="4"/>
    <n v="1049"/>
    <x v="3"/>
    <x v="0"/>
    <x v="1"/>
    <n v="11"/>
    <n v="4100"/>
    <n v="45100"/>
  </r>
  <r>
    <x v="14"/>
    <n v="1050"/>
    <x v="3"/>
    <x v="1"/>
    <x v="2"/>
    <n v="20"/>
    <n v="5200"/>
    <n v="104000"/>
  </r>
  <r>
    <x v="17"/>
    <n v="1051"/>
    <x v="4"/>
    <x v="2"/>
    <x v="1"/>
    <n v="16"/>
    <n v="4400"/>
    <n v="70400"/>
  </r>
  <r>
    <x v="23"/>
    <n v="1052"/>
    <x v="1"/>
    <x v="0"/>
    <x v="0"/>
    <n v="18"/>
    <n v="6700"/>
    <n v="120600"/>
  </r>
  <r>
    <x v="6"/>
    <n v="1053"/>
    <x v="6"/>
    <x v="2"/>
    <x v="3"/>
    <n v="2"/>
    <n v="5100"/>
    <n v="10200"/>
  </r>
  <r>
    <x v="13"/>
    <n v="1054"/>
    <x v="6"/>
    <x v="1"/>
    <x v="3"/>
    <n v="14"/>
    <n v="6500"/>
    <n v="91000"/>
  </r>
  <r>
    <x v="22"/>
    <n v="1055"/>
    <x v="0"/>
    <x v="0"/>
    <x v="0"/>
    <n v="9"/>
    <n v="6100"/>
    <n v="54900"/>
  </r>
  <r>
    <x v="21"/>
    <n v="1056"/>
    <x v="7"/>
    <x v="1"/>
    <x v="3"/>
    <n v="1"/>
    <n v="5100"/>
    <n v="5100"/>
  </r>
  <r>
    <x v="23"/>
    <n v="1057"/>
    <x v="2"/>
    <x v="2"/>
    <x v="2"/>
    <n v="9"/>
    <n v="2200"/>
    <n v="19800"/>
  </r>
  <r>
    <x v="13"/>
    <n v="1058"/>
    <x v="6"/>
    <x v="1"/>
    <x v="0"/>
    <n v="2"/>
    <n v="2800"/>
    <n v="5600"/>
  </r>
  <r>
    <x v="24"/>
    <n v="1059"/>
    <x v="3"/>
    <x v="0"/>
    <x v="3"/>
    <n v="13"/>
    <n v="3900"/>
    <n v="50700"/>
  </r>
  <r>
    <x v="12"/>
    <n v="1060"/>
    <x v="0"/>
    <x v="0"/>
    <x v="3"/>
    <n v="13"/>
    <n v="6400"/>
    <n v="83200"/>
  </r>
  <r>
    <x v="1"/>
    <n v="1061"/>
    <x v="5"/>
    <x v="0"/>
    <x v="0"/>
    <n v="1"/>
    <n v="800"/>
    <n v="800"/>
  </r>
  <r>
    <x v="24"/>
    <n v="1062"/>
    <x v="1"/>
    <x v="0"/>
    <x v="4"/>
    <n v="9"/>
    <n v="5500"/>
    <n v="49500"/>
  </r>
  <r>
    <x v="23"/>
    <n v="1063"/>
    <x v="6"/>
    <x v="0"/>
    <x v="4"/>
    <n v="10"/>
    <n v="3800"/>
    <n v="38000"/>
  </r>
  <r>
    <x v="14"/>
    <n v="1064"/>
    <x v="2"/>
    <x v="0"/>
    <x v="2"/>
    <n v="17"/>
    <n v="5300"/>
    <n v="90100"/>
  </r>
  <r>
    <x v="12"/>
    <n v="1065"/>
    <x v="2"/>
    <x v="1"/>
    <x v="3"/>
    <n v="19"/>
    <n v="3600"/>
    <n v="68400"/>
  </r>
  <r>
    <x v="10"/>
    <n v="1066"/>
    <x v="4"/>
    <x v="2"/>
    <x v="1"/>
    <n v="14"/>
    <n v="6900"/>
    <n v="96600"/>
  </r>
  <r>
    <x v="9"/>
    <n v="1067"/>
    <x v="7"/>
    <x v="1"/>
    <x v="0"/>
    <n v="13"/>
    <n v="5300"/>
    <n v="68900"/>
  </r>
  <r>
    <x v="19"/>
    <n v="1068"/>
    <x v="5"/>
    <x v="0"/>
    <x v="1"/>
    <n v="1"/>
    <n v="1300"/>
    <n v="1300"/>
  </r>
  <r>
    <x v="9"/>
    <n v="1069"/>
    <x v="1"/>
    <x v="1"/>
    <x v="1"/>
    <n v="14"/>
    <n v="4700"/>
    <n v="65800"/>
  </r>
  <r>
    <x v="20"/>
    <n v="1070"/>
    <x v="3"/>
    <x v="0"/>
    <x v="4"/>
    <n v="15"/>
    <n v="5000"/>
    <n v="75000"/>
  </r>
  <r>
    <x v="25"/>
    <n v="1071"/>
    <x v="4"/>
    <x v="2"/>
    <x v="2"/>
    <n v="4"/>
    <n v="1800"/>
    <n v="7200"/>
  </r>
  <r>
    <x v="5"/>
    <n v="1072"/>
    <x v="6"/>
    <x v="1"/>
    <x v="3"/>
    <n v="12"/>
    <n v="6700"/>
    <n v="80400"/>
  </r>
  <r>
    <x v="12"/>
    <n v="1073"/>
    <x v="1"/>
    <x v="2"/>
    <x v="3"/>
    <n v="7"/>
    <n v="2900"/>
    <n v="20300"/>
  </r>
  <r>
    <x v="24"/>
    <n v="1074"/>
    <x v="1"/>
    <x v="0"/>
    <x v="1"/>
    <n v="1"/>
    <n v="4600"/>
    <n v="4600"/>
  </r>
  <r>
    <x v="26"/>
    <n v="1075"/>
    <x v="4"/>
    <x v="1"/>
    <x v="4"/>
    <n v="15"/>
    <n v="2900"/>
    <n v="43500"/>
  </r>
  <r>
    <x v="9"/>
    <n v="1076"/>
    <x v="3"/>
    <x v="1"/>
    <x v="3"/>
    <n v="15"/>
    <n v="5000"/>
    <n v="75000"/>
  </r>
  <r>
    <x v="23"/>
    <n v="1077"/>
    <x v="4"/>
    <x v="0"/>
    <x v="1"/>
    <n v="19"/>
    <n v="3300"/>
    <n v="62700"/>
  </r>
  <r>
    <x v="7"/>
    <n v="1078"/>
    <x v="5"/>
    <x v="1"/>
    <x v="2"/>
    <n v="4"/>
    <n v="4900"/>
    <n v="19600"/>
  </r>
  <r>
    <x v="1"/>
    <n v="1079"/>
    <x v="7"/>
    <x v="2"/>
    <x v="4"/>
    <n v="9"/>
    <n v="6700"/>
    <n v="60300"/>
  </r>
  <r>
    <x v="22"/>
    <n v="1080"/>
    <x v="4"/>
    <x v="1"/>
    <x v="0"/>
    <n v="5"/>
    <n v="2400"/>
    <n v="12000"/>
  </r>
  <r>
    <x v="3"/>
    <n v="1081"/>
    <x v="4"/>
    <x v="2"/>
    <x v="4"/>
    <n v="8"/>
    <n v="2100"/>
    <n v="16800"/>
  </r>
  <r>
    <x v="14"/>
    <n v="1082"/>
    <x v="7"/>
    <x v="1"/>
    <x v="0"/>
    <n v="16"/>
    <n v="4300"/>
    <n v="68800"/>
  </r>
  <r>
    <x v="9"/>
    <n v="1083"/>
    <x v="4"/>
    <x v="1"/>
    <x v="0"/>
    <n v="11"/>
    <n v="2300"/>
    <n v="25300"/>
  </r>
  <r>
    <x v="15"/>
    <n v="1084"/>
    <x v="7"/>
    <x v="1"/>
    <x v="4"/>
    <n v="2"/>
    <n v="2000"/>
    <n v="4000"/>
  </r>
  <r>
    <x v="27"/>
    <n v="1085"/>
    <x v="7"/>
    <x v="2"/>
    <x v="1"/>
    <n v="1"/>
    <n v="5200"/>
    <n v="5200"/>
  </r>
  <r>
    <x v="20"/>
    <n v="1086"/>
    <x v="7"/>
    <x v="1"/>
    <x v="4"/>
    <n v="2"/>
    <n v="5000"/>
    <n v="10000"/>
  </r>
  <r>
    <x v="8"/>
    <n v="1087"/>
    <x v="0"/>
    <x v="2"/>
    <x v="2"/>
    <n v="13"/>
    <n v="4400"/>
    <n v="57200"/>
  </r>
  <r>
    <x v="20"/>
    <n v="1088"/>
    <x v="4"/>
    <x v="0"/>
    <x v="1"/>
    <n v="1"/>
    <n v="1000"/>
    <n v="1000"/>
  </r>
  <r>
    <x v="15"/>
    <n v="1089"/>
    <x v="7"/>
    <x v="1"/>
    <x v="4"/>
    <n v="10"/>
    <n v="4300"/>
    <n v="43000"/>
  </r>
  <r>
    <x v="2"/>
    <n v="1090"/>
    <x v="0"/>
    <x v="0"/>
    <x v="2"/>
    <n v="14"/>
    <n v="2800"/>
    <n v="39200"/>
  </r>
  <r>
    <x v="14"/>
    <n v="1091"/>
    <x v="3"/>
    <x v="2"/>
    <x v="2"/>
    <n v="3"/>
    <n v="5000"/>
    <n v="15000"/>
  </r>
  <r>
    <x v="5"/>
    <n v="1092"/>
    <x v="1"/>
    <x v="0"/>
    <x v="2"/>
    <n v="1"/>
    <n v="3000"/>
    <n v="3000"/>
  </r>
  <r>
    <x v="18"/>
    <n v="1093"/>
    <x v="6"/>
    <x v="1"/>
    <x v="4"/>
    <n v="5"/>
    <n v="2500"/>
    <n v="12500"/>
  </r>
  <r>
    <x v="4"/>
    <n v="1094"/>
    <x v="6"/>
    <x v="0"/>
    <x v="1"/>
    <n v="7"/>
    <n v="3800"/>
    <n v="26600"/>
  </r>
  <r>
    <x v="11"/>
    <n v="1095"/>
    <x v="4"/>
    <x v="1"/>
    <x v="4"/>
    <n v="5"/>
    <n v="700"/>
    <n v="3500"/>
  </r>
  <r>
    <x v="13"/>
    <n v="1096"/>
    <x v="1"/>
    <x v="1"/>
    <x v="3"/>
    <n v="9"/>
    <n v="800"/>
    <n v="7200"/>
  </r>
  <r>
    <x v="24"/>
    <n v="1097"/>
    <x v="4"/>
    <x v="2"/>
    <x v="3"/>
    <n v="15"/>
    <n v="1400"/>
    <n v="21000"/>
  </r>
  <r>
    <x v="8"/>
    <n v="1098"/>
    <x v="7"/>
    <x v="0"/>
    <x v="4"/>
    <n v="4"/>
    <n v="2800"/>
    <n v="11200"/>
  </r>
  <r>
    <x v="7"/>
    <n v="1099"/>
    <x v="5"/>
    <x v="2"/>
    <x v="1"/>
    <n v="11"/>
    <n v="6200"/>
    <n v="68200"/>
  </r>
  <r>
    <x v="26"/>
    <n v="1100"/>
    <x v="2"/>
    <x v="1"/>
    <x v="3"/>
    <n v="20"/>
    <n v="3000"/>
    <n v="60000"/>
  </r>
  <r>
    <x v="2"/>
    <n v="1101"/>
    <x v="1"/>
    <x v="0"/>
    <x v="3"/>
    <n v="3"/>
    <n v="6600"/>
    <n v="19800"/>
  </r>
  <r>
    <x v="0"/>
    <n v="1102"/>
    <x v="6"/>
    <x v="2"/>
    <x v="1"/>
    <n v="16"/>
    <n v="3700"/>
    <n v="59200"/>
  </r>
  <r>
    <x v="14"/>
    <n v="1103"/>
    <x v="3"/>
    <x v="2"/>
    <x v="2"/>
    <n v="5"/>
    <n v="800"/>
    <n v="4000"/>
  </r>
  <r>
    <x v="13"/>
    <n v="1104"/>
    <x v="2"/>
    <x v="0"/>
    <x v="1"/>
    <n v="14"/>
    <n v="5200"/>
    <n v="72800"/>
  </r>
  <r>
    <x v="23"/>
    <n v="1105"/>
    <x v="2"/>
    <x v="1"/>
    <x v="1"/>
    <n v="17"/>
    <n v="5900"/>
    <n v="100300"/>
  </r>
  <r>
    <x v="22"/>
    <n v="1106"/>
    <x v="2"/>
    <x v="1"/>
    <x v="0"/>
    <n v="9"/>
    <n v="6000"/>
    <n v="54000"/>
  </r>
  <r>
    <x v="19"/>
    <n v="1107"/>
    <x v="2"/>
    <x v="2"/>
    <x v="4"/>
    <n v="6"/>
    <n v="6500"/>
    <n v="39000"/>
  </r>
  <r>
    <x v="7"/>
    <n v="1108"/>
    <x v="7"/>
    <x v="2"/>
    <x v="4"/>
    <n v="18"/>
    <n v="3600"/>
    <n v="64800"/>
  </r>
  <r>
    <x v="18"/>
    <n v="1109"/>
    <x v="4"/>
    <x v="0"/>
    <x v="0"/>
    <n v="6"/>
    <n v="1100"/>
    <n v="6600"/>
  </r>
  <r>
    <x v="20"/>
    <n v="1110"/>
    <x v="3"/>
    <x v="0"/>
    <x v="4"/>
    <n v="2"/>
    <n v="4300"/>
    <n v="8600"/>
  </r>
  <r>
    <x v="11"/>
    <n v="1111"/>
    <x v="7"/>
    <x v="1"/>
    <x v="4"/>
    <n v="6"/>
    <n v="1200"/>
    <n v="7200"/>
  </r>
  <r>
    <x v="6"/>
    <n v="1112"/>
    <x v="4"/>
    <x v="1"/>
    <x v="4"/>
    <n v="9"/>
    <n v="6600"/>
    <n v="59400"/>
  </r>
  <r>
    <x v="1"/>
    <n v="1113"/>
    <x v="6"/>
    <x v="0"/>
    <x v="2"/>
    <n v="7"/>
    <n v="5600"/>
    <n v="39200"/>
  </r>
  <r>
    <x v="21"/>
    <n v="1114"/>
    <x v="4"/>
    <x v="2"/>
    <x v="1"/>
    <n v="12"/>
    <n v="4100"/>
    <n v="49200"/>
  </r>
  <r>
    <x v="10"/>
    <n v="1115"/>
    <x v="7"/>
    <x v="0"/>
    <x v="2"/>
    <n v="17"/>
    <n v="1800"/>
    <n v="30600"/>
  </r>
  <r>
    <x v="13"/>
    <n v="1116"/>
    <x v="7"/>
    <x v="2"/>
    <x v="4"/>
    <n v="2"/>
    <n v="2300"/>
    <n v="4600"/>
  </r>
  <r>
    <x v="13"/>
    <n v="1117"/>
    <x v="6"/>
    <x v="2"/>
    <x v="1"/>
    <n v="9"/>
    <n v="3400"/>
    <n v="30600"/>
  </r>
  <r>
    <x v="6"/>
    <n v="1118"/>
    <x v="4"/>
    <x v="2"/>
    <x v="1"/>
    <n v="13"/>
    <n v="6300"/>
    <n v="81900"/>
  </r>
  <r>
    <x v="20"/>
    <n v="1119"/>
    <x v="5"/>
    <x v="1"/>
    <x v="4"/>
    <n v="2"/>
    <n v="5200"/>
    <n v="10400"/>
  </r>
  <r>
    <x v="16"/>
    <n v="1120"/>
    <x v="3"/>
    <x v="0"/>
    <x v="3"/>
    <n v="7"/>
    <n v="6100"/>
    <n v="42700"/>
  </r>
  <r>
    <x v="14"/>
    <n v="1121"/>
    <x v="2"/>
    <x v="1"/>
    <x v="4"/>
    <n v="20"/>
    <n v="4700"/>
    <n v="94000"/>
  </r>
  <r>
    <x v="13"/>
    <n v="1122"/>
    <x v="1"/>
    <x v="0"/>
    <x v="1"/>
    <n v="2"/>
    <n v="6000"/>
    <n v="12000"/>
  </r>
  <r>
    <x v="26"/>
    <n v="1123"/>
    <x v="4"/>
    <x v="0"/>
    <x v="2"/>
    <n v="20"/>
    <n v="2300"/>
    <n v="46000"/>
  </r>
  <r>
    <x v="11"/>
    <n v="1124"/>
    <x v="2"/>
    <x v="2"/>
    <x v="3"/>
    <n v="15"/>
    <n v="3500"/>
    <n v="52500"/>
  </r>
  <r>
    <x v="9"/>
    <n v="1125"/>
    <x v="5"/>
    <x v="2"/>
    <x v="1"/>
    <n v="7"/>
    <n v="900"/>
    <n v="6300"/>
  </r>
  <r>
    <x v="22"/>
    <n v="1126"/>
    <x v="5"/>
    <x v="0"/>
    <x v="1"/>
    <n v="17"/>
    <n v="6200"/>
    <n v="105400"/>
  </r>
  <r>
    <x v="3"/>
    <n v="1127"/>
    <x v="5"/>
    <x v="1"/>
    <x v="2"/>
    <n v="3"/>
    <n v="6500"/>
    <n v="19500"/>
  </r>
  <r>
    <x v="8"/>
    <n v="1128"/>
    <x v="7"/>
    <x v="0"/>
    <x v="4"/>
    <n v="19"/>
    <n v="2400"/>
    <n v="45600"/>
  </r>
  <r>
    <x v="7"/>
    <n v="1129"/>
    <x v="7"/>
    <x v="0"/>
    <x v="2"/>
    <n v="16"/>
    <n v="2400"/>
    <n v="38400"/>
  </r>
  <r>
    <x v="9"/>
    <n v="1130"/>
    <x v="0"/>
    <x v="2"/>
    <x v="1"/>
    <n v="4"/>
    <n v="1300"/>
    <n v="5200"/>
  </r>
  <r>
    <x v="4"/>
    <n v="1131"/>
    <x v="6"/>
    <x v="1"/>
    <x v="4"/>
    <n v="4"/>
    <n v="2200"/>
    <n v="8800"/>
  </r>
  <r>
    <x v="20"/>
    <n v="1132"/>
    <x v="7"/>
    <x v="2"/>
    <x v="0"/>
    <n v="2"/>
    <n v="2800"/>
    <n v="5600"/>
  </r>
  <r>
    <x v="1"/>
    <n v="1133"/>
    <x v="1"/>
    <x v="1"/>
    <x v="4"/>
    <n v="8"/>
    <n v="5100"/>
    <n v="40800"/>
  </r>
  <r>
    <x v="15"/>
    <n v="1134"/>
    <x v="2"/>
    <x v="0"/>
    <x v="4"/>
    <n v="18"/>
    <n v="1600"/>
    <n v="28800"/>
  </r>
  <r>
    <x v="23"/>
    <n v="1135"/>
    <x v="2"/>
    <x v="1"/>
    <x v="2"/>
    <n v="1"/>
    <n v="600"/>
    <n v="600"/>
  </r>
  <r>
    <x v="14"/>
    <n v="1136"/>
    <x v="3"/>
    <x v="2"/>
    <x v="0"/>
    <n v="11"/>
    <n v="1900"/>
    <n v="20900"/>
  </r>
  <r>
    <x v="14"/>
    <n v="1137"/>
    <x v="0"/>
    <x v="2"/>
    <x v="2"/>
    <n v="8"/>
    <n v="6600"/>
    <n v="52800"/>
  </r>
  <r>
    <x v="14"/>
    <n v="1138"/>
    <x v="7"/>
    <x v="1"/>
    <x v="2"/>
    <n v="16"/>
    <n v="6100"/>
    <n v="97600"/>
  </r>
  <r>
    <x v="19"/>
    <n v="1139"/>
    <x v="5"/>
    <x v="1"/>
    <x v="2"/>
    <n v="7"/>
    <n v="6500"/>
    <n v="45500"/>
  </r>
  <r>
    <x v="24"/>
    <n v="1140"/>
    <x v="1"/>
    <x v="1"/>
    <x v="2"/>
    <n v="14"/>
    <n v="5400"/>
    <n v="75600"/>
  </r>
  <r>
    <x v="25"/>
    <n v="1141"/>
    <x v="2"/>
    <x v="2"/>
    <x v="4"/>
    <n v="1"/>
    <n v="600"/>
    <n v="600"/>
  </r>
  <r>
    <x v="4"/>
    <n v="1142"/>
    <x v="7"/>
    <x v="0"/>
    <x v="4"/>
    <n v="8"/>
    <n v="6400"/>
    <n v="51200"/>
  </r>
  <r>
    <x v="17"/>
    <n v="1143"/>
    <x v="1"/>
    <x v="2"/>
    <x v="4"/>
    <n v="9"/>
    <n v="2800"/>
    <n v="25200"/>
  </r>
  <r>
    <x v="9"/>
    <n v="1144"/>
    <x v="3"/>
    <x v="0"/>
    <x v="2"/>
    <n v="6"/>
    <n v="3000"/>
    <n v="18000"/>
  </r>
  <r>
    <x v="25"/>
    <n v="1145"/>
    <x v="6"/>
    <x v="2"/>
    <x v="4"/>
    <n v="1"/>
    <n v="3700"/>
    <n v="3700"/>
  </r>
  <r>
    <x v="20"/>
    <n v="1146"/>
    <x v="6"/>
    <x v="1"/>
    <x v="1"/>
    <n v="7"/>
    <n v="900"/>
    <n v="6300"/>
  </r>
  <r>
    <x v="10"/>
    <n v="1147"/>
    <x v="6"/>
    <x v="2"/>
    <x v="3"/>
    <n v="12"/>
    <n v="2700"/>
    <n v="32400"/>
  </r>
  <r>
    <x v="5"/>
    <n v="1148"/>
    <x v="3"/>
    <x v="2"/>
    <x v="1"/>
    <n v="16"/>
    <n v="4400"/>
    <n v="70400"/>
  </r>
  <r>
    <x v="0"/>
    <n v="1149"/>
    <x v="4"/>
    <x v="0"/>
    <x v="2"/>
    <n v="12"/>
    <n v="6900"/>
    <n v="82800"/>
  </r>
  <r>
    <x v="12"/>
    <n v="1150"/>
    <x v="2"/>
    <x v="1"/>
    <x v="1"/>
    <n v="19"/>
    <n v="3800"/>
    <n v="72200"/>
  </r>
  <r>
    <x v="22"/>
    <n v="1151"/>
    <x v="6"/>
    <x v="2"/>
    <x v="2"/>
    <n v="12"/>
    <n v="800"/>
    <n v="9600"/>
  </r>
  <r>
    <x v="20"/>
    <n v="1152"/>
    <x v="3"/>
    <x v="1"/>
    <x v="4"/>
    <n v="1"/>
    <n v="800"/>
    <n v="800"/>
  </r>
  <r>
    <x v="15"/>
    <n v="1153"/>
    <x v="2"/>
    <x v="1"/>
    <x v="4"/>
    <n v="1"/>
    <n v="4100"/>
    <n v="4100"/>
  </r>
  <r>
    <x v="7"/>
    <n v="1154"/>
    <x v="7"/>
    <x v="2"/>
    <x v="1"/>
    <n v="18"/>
    <n v="6400"/>
    <n v="115200"/>
  </r>
  <r>
    <x v="27"/>
    <n v="1155"/>
    <x v="4"/>
    <x v="2"/>
    <x v="4"/>
    <n v="13"/>
    <n v="2100"/>
    <n v="27300"/>
  </r>
  <r>
    <x v="21"/>
    <n v="1156"/>
    <x v="1"/>
    <x v="0"/>
    <x v="1"/>
    <n v="13"/>
    <n v="6100"/>
    <n v="79300"/>
  </r>
  <r>
    <x v="12"/>
    <n v="1157"/>
    <x v="1"/>
    <x v="2"/>
    <x v="1"/>
    <n v="11"/>
    <n v="500"/>
    <n v="5500"/>
  </r>
  <r>
    <x v="15"/>
    <n v="1158"/>
    <x v="4"/>
    <x v="0"/>
    <x v="1"/>
    <n v="14"/>
    <n v="1900"/>
    <n v="26600"/>
  </r>
  <r>
    <x v="4"/>
    <n v="1159"/>
    <x v="2"/>
    <x v="1"/>
    <x v="1"/>
    <n v="8"/>
    <n v="2600"/>
    <n v="20800"/>
  </r>
  <r>
    <x v="22"/>
    <n v="1160"/>
    <x v="2"/>
    <x v="1"/>
    <x v="0"/>
    <n v="15"/>
    <n v="4400"/>
    <n v="66000"/>
  </r>
  <r>
    <x v="5"/>
    <n v="1161"/>
    <x v="0"/>
    <x v="0"/>
    <x v="3"/>
    <n v="8"/>
    <n v="2100"/>
    <n v="16800"/>
  </r>
  <r>
    <x v="2"/>
    <n v="1162"/>
    <x v="6"/>
    <x v="0"/>
    <x v="3"/>
    <n v="6"/>
    <n v="1300"/>
    <n v="7800"/>
  </r>
  <r>
    <x v="14"/>
    <n v="1163"/>
    <x v="4"/>
    <x v="2"/>
    <x v="1"/>
    <n v="7"/>
    <n v="5500"/>
    <n v="38500"/>
  </r>
  <r>
    <x v="17"/>
    <n v="1164"/>
    <x v="1"/>
    <x v="1"/>
    <x v="2"/>
    <n v="14"/>
    <n v="3100"/>
    <n v="43400"/>
  </r>
  <r>
    <x v="16"/>
    <n v="1165"/>
    <x v="2"/>
    <x v="1"/>
    <x v="3"/>
    <n v="20"/>
    <n v="6500"/>
    <n v="130000"/>
  </r>
  <r>
    <x v="23"/>
    <n v="1166"/>
    <x v="0"/>
    <x v="0"/>
    <x v="4"/>
    <n v="16"/>
    <n v="4900"/>
    <n v="78400"/>
  </r>
  <r>
    <x v="21"/>
    <n v="1167"/>
    <x v="3"/>
    <x v="1"/>
    <x v="4"/>
    <n v="5"/>
    <n v="1400"/>
    <n v="7000"/>
  </r>
  <r>
    <x v="23"/>
    <n v="1168"/>
    <x v="4"/>
    <x v="1"/>
    <x v="3"/>
    <n v="14"/>
    <n v="5500"/>
    <n v="77000"/>
  </r>
  <r>
    <x v="0"/>
    <n v="1169"/>
    <x v="5"/>
    <x v="2"/>
    <x v="3"/>
    <n v="15"/>
    <n v="4200"/>
    <n v="63000"/>
  </r>
  <r>
    <x v="18"/>
    <n v="1170"/>
    <x v="1"/>
    <x v="0"/>
    <x v="4"/>
    <n v="12"/>
    <n v="3800"/>
    <n v="45600"/>
  </r>
  <r>
    <x v="25"/>
    <n v="1171"/>
    <x v="7"/>
    <x v="1"/>
    <x v="1"/>
    <n v="5"/>
    <n v="6800"/>
    <n v="34000"/>
  </r>
  <r>
    <x v="18"/>
    <n v="1172"/>
    <x v="3"/>
    <x v="0"/>
    <x v="4"/>
    <n v="8"/>
    <n v="4300"/>
    <n v="34400"/>
  </r>
  <r>
    <x v="24"/>
    <n v="1173"/>
    <x v="4"/>
    <x v="1"/>
    <x v="2"/>
    <n v="2"/>
    <n v="3200"/>
    <n v="6400"/>
  </r>
  <r>
    <x v="5"/>
    <n v="1174"/>
    <x v="3"/>
    <x v="1"/>
    <x v="4"/>
    <n v="7"/>
    <n v="2700"/>
    <n v="18900"/>
  </r>
  <r>
    <x v="12"/>
    <n v="1175"/>
    <x v="2"/>
    <x v="2"/>
    <x v="0"/>
    <n v="8"/>
    <n v="2800"/>
    <n v="22400"/>
  </r>
  <r>
    <x v="22"/>
    <n v="1176"/>
    <x v="6"/>
    <x v="1"/>
    <x v="1"/>
    <n v="18"/>
    <n v="5700"/>
    <n v="102600"/>
  </r>
  <r>
    <x v="26"/>
    <n v="1177"/>
    <x v="1"/>
    <x v="0"/>
    <x v="3"/>
    <n v="11"/>
    <n v="6600"/>
    <n v="72600"/>
  </r>
  <r>
    <x v="9"/>
    <n v="1178"/>
    <x v="1"/>
    <x v="1"/>
    <x v="0"/>
    <n v="4"/>
    <n v="5200"/>
    <n v="20800"/>
  </r>
  <r>
    <x v="19"/>
    <n v="1179"/>
    <x v="7"/>
    <x v="1"/>
    <x v="2"/>
    <n v="9"/>
    <n v="4300"/>
    <n v="38700"/>
  </r>
  <r>
    <x v="4"/>
    <n v="1180"/>
    <x v="1"/>
    <x v="2"/>
    <x v="3"/>
    <n v="17"/>
    <n v="6000"/>
    <n v="102000"/>
  </r>
  <r>
    <x v="23"/>
    <n v="1181"/>
    <x v="6"/>
    <x v="2"/>
    <x v="0"/>
    <n v="3"/>
    <n v="6300"/>
    <n v="18900"/>
  </r>
  <r>
    <x v="11"/>
    <n v="1182"/>
    <x v="0"/>
    <x v="1"/>
    <x v="2"/>
    <n v="15"/>
    <n v="3700"/>
    <n v="55500"/>
  </r>
  <r>
    <x v="18"/>
    <n v="1183"/>
    <x v="0"/>
    <x v="1"/>
    <x v="1"/>
    <n v="18"/>
    <n v="1400"/>
    <n v="25200"/>
  </r>
  <r>
    <x v="17"/>
    <n v="1184"/>
    <x v="2"/>
    <x v="0"/>
    <x v="2"/>
    <n v="7"/>
    <n v="1900"/>
    <n v="13300"/>
  </r>
  <r>
    <x v="11"/>
    <n v="1185"/>
    <x v="7"/>
    <x v="2"/>
    <x v="3"/>
    <n v="3"/>
    <n v="1200"/>
    <n v="3600"/>
  </r>
  <r>
    <x v="15"/>
    <n v="1186"/>
    <x v="0"/>
    <x v="0"/>
    <x v="1"/>
    <n v="14"/>
    <n v="6100"/>
    <n v="85400"/>
  </r>
  <r>
    <x v="3"/>
    <n v="1187"/>
    <x v="4"/>
    <x v="1"/>
    <x v="3"/>
    <n v="14"/>
    <n v="4100"/>
    <n v="57400"/>
  </r>
  <r>
    <x v="6"/>
    <n v="1188"/>
    <x v="1"/>
    <x v="0"/>
    <x v="3"/>
    <n v="7"/>
    <n v="6300"/>
    <n v="44100"/>
  </r>
  <r>
    <x v="11"/>
    <n v="1189"/>
    <x v="6"/>
    <x v="0"/>
    <x v="3"/>
    <n v="19"/>
    <n v="700"/>
    <n v="13300"/>
  </r>
  <r>
    <x v="26"/>
    <n v="1190"/>
    <x v="6"/>
    <x v="0"/>
    <x v="3"/>
    <n v="4"/>
    <n v="4500"/>
    <n v="18000"/>
  </r>
  <r>
    <x v="23"/>
    <n v="1191"/>
    <x v="7"/>
    <x v="1"/>
    <x v="4"/>
    <n v="17"/>
    <n v="5200"/>
    <n v="88400"/>
  </r>
  <r>
    <x v="4"/>
    <n v="1192"/>
    <x v="5"/>
    <x v="0"/>
    <x v="4"/>
    <n v="12"/>
    <n v="2200"/>
    <n v="26400"/>
  </r>
  <r>
    <x v="25"/>
    <n v="1193"/>
    <x v="4"/>
    <x v="2"/>
    <x v="2"/>
    <n v="19"/>
    <n v="6800"/>
    <n v="129200"/>
  </r>
  <r>
    <x v="10"/>
    <n v="1194"/>
    <x v="5"/>
    <x v="0"/>
    <x v="4"/>
    <n v="10"/>
    <n v="3700"/>
    <n v="37000"/>
  </r>
  <r>
    <x v="8"/>
    <n v="1195"/>
    <x v="0"/>
    <x v="0"/>
    <x v="3"/>
    <n v="5"/>
    <n v="4900"/>
    <n v="24500"/>
  </r>
  <r>
    <x v="21"/>
    <n v="1196"/>
    <x v="1"/>
    <x v="2"/>
    <x v="2"/>
    <n v="2"/>
    <n v="3100"/>
    <n v="6200"/>
  </r>
  <r>
    <x v="20"/>
    <n v="1197"/>
    <x v="7"/>
    <x v="2"/>
    <x v="4"/>
    <n v="3"/>
    <n v="6300"/>
    <n v="18900"/>
  </r>
  <r>
    <x v="21"/>
    <n v="1198"/>
    <x v="4"/>
    <x v="2"/>
    <x v="3"/>
    <n v="12"/>
    <n v="6500"/>
    <n v="78000"/>
  </r>
  <r>
    <x v="5"/>
    <n v="1199"/>
    <x v="6"/>
    <x v="2"/>
    <x v="3"/>
    <n v="17"/>
    <n v="6300"/>
    <n v="107100"/>
  </r>
  <r>
    <x v="19"/>
    <n v="1200"/>
    <x v="2"/>
    <x v="1"/>
    <x v="0"/>
    <n v="19"/>
    <n v="2100"/>
    <n v="39900"/>
  </r>
  <r>
    <x v="10"/>
    <n v="1201"/>
    <x v="7"/>
    <x v="0"/>
    <x v="4"/>
    <n v="19"/>
    <n v="1300"/>
    <n v="24700"/>
  </r>
  <r>
    <x v="23"/>
    <n v="1202"/>
    <x v="4"/>
    <x v="1"/>
    <x v="3"/>
    <n v="11"/>
    <n v="1800"/>
    <n v="19800"/>
  </r>
  <r>
    <x v="14"/>
    <n v="1203"/>
    <x v="4"/>
    <x v="0"/>
    <x v="1"/>
    <n v="15"/>
    <n v="1300"/>
    <n v="19500"/>
  </r>
  <r>
    <x v="0"/>
    <n v="1204"/>
    <x v="7"/>
    <x v="1"/>
    <x v="2"/>
    <n v="15"/>
    <n v="2900"/>
    <n v="43500"/>
  </r>
  <r>
    <x v="2"/>
    <n v="1205"/>
    <x v="3"/>
    <x v="2"/>
    <x v="2"/>
    <n v="16"/>
    <n v="1900"/>
    <n v="30400"/>
  </r>
  <r>
    <x v="5"/>
    <n v="1206"/>
    <x v="5"/>
    <x v="2"/>
    <x v="2"/>
    <n v="1"/>
    <n v="5900"/>
    <n v="5900"/>
  </r>
  <r>
    <x v="24"/>
    <n v="1207"/>
    <x v="6"/>
    <x v="0"/>
    <x v="0"/>
    <n v="2"/>
    <n v="3400"/>
    <n v="6800"/>
  </r>
  <r>
    <x v="1"/>
    <n v="1208"/>
    <x v="5"/>
    <x v="0"/>
    <x v="4"/>
    <n v="19"/>
    <n v="6800"/>
    <n v="129200"/>
  </r>
  <r>
    <x v="23"/>
    <n v="1209"/>
    <x v="2"/>
    <x v="2"/>
    <x v="0"/>
    <n v="2"/>
    <n v="4500"/>
    <n v="9000"/>
  </r>
  <r>
    <x v="7"/>
    <n v="1210"/>
    <x v="3"/>
    <x v="1"/>
    <x v="0"/>
    <n v="15"/>
    <n v="5000"/>
    <n v="75000"/>
  </r>
  <r>
    <x v="5"/>
    <n v="1211"/>
    <x v="3"/>
    <x v="2"/>
    <x v="0"/>
    <n v="19"/>
    <n v="2100"/>
    <n v="39900"/>
  </r>
  <r>
    <x v="24"/>
    <n v="1212"/>
    <x v="2"/>
    <x v="0"/>
    <x v="0"/>
    <n v="12"/>
    <n v="3000"/>
    <n v="36000"/>
  </r>
  <r>
    <x v="16"/>
    <n v="1213"/>
    <x v="0"/>
    <x v="0"/>
    <x v="2"/>
    <n v="4"/>
    <n v="6100"/>
    <n v="24400"/>
  </r>
  <r>
    <x v="22"/>
    <n v="1214"/>
    <x v="0"/>
    <x v="0"/>
    <x v="1"/>
    <n v="20"/>
    <n v="4700"/>
    <n v="94000"/>
  </r>
  <r>
    <x v="10"/>
    <n v="1215"/>
    <x v="1"/>
    <x v="2"/>
    <x v="3"/>
    <n v="3"/>
    <n v="1500"/>
    <n v="4500"/>
  </r>
  <r>
    <x v="6"/>
    <n v="1216"/>
    <x v="3"/>
    <x v="1"/>
    <x v="1"/>
    <n v="5"/>
    <n v="4700"/>
    <n v="23500"/>
  </r>
  <r>
    <x v="11"/>
    <n v="1217"/>
    <x v="3"/>
    <x v="0"/>
    <x v="0"/>
    <n v="12"/>
    <n v="4800"/>
    <n v="57600"/>
  </r>
  <r>
    <x v="22"/>
    <n v="1218"/>
    <x v="1"/>
    <x v="2"/>
    <x v="3"/>
    <n v="7"/>
    <n v="3600"/>
    <n v="25200"/>
  </r>
  <r>
    <x v="23"/>
    <n v="1219"/>
    <x v="7"/>
    <x v="2"/>
    <x v="3"/>
    <n v="8"/>
    <n v="5500"/>
    <n v="44000"/>
  </r>
  <r>
    <x v="2"/>
    <n v="1220"/>
    <x v="7"/>
    <x v="1"/>
    <x v="3"/>
    <n v="19"/>
    <n v="1700"/>
    <n v="32300"/>
  </r>
  <r>
    <x v="26"/>
    <n v="1221"/>
    <x v="6"/>
    <x v="2"/>
    <x v="4"/>
    <n v="12"/>
    <n v="5600"/>
    <n v="67200"/>
  </r>
  <r>
    <x v="24"/>
    <n v="1222"/>
    <x v="2"/>
    <x v="0"/>
    <x v="1"/>
    <n v="15"/>
    <n v="5500"/>
    <n v="82500"/>
  </r>
  <r>
    <x v="22"/>
    <n v="1223"/>
    <x v="3"/>
    <x v="1"/>
    <x v="2"/>
    <n v="3"/>
    <n v="800"/>
    <n v="2400"/>
  </r>
  <r>
    <x v="4"/>
    <n v="1224"/>
    <x v="3"/>
    <x v="1"/>
    <x v="3"/>
    <n v="8"/>
    <n v="3400"/>
    <n v="27200"/>
  </r>
  <r>
    <x v="14"/>
    <n v="1225"/>
    <x v="0"/>
    <x v="0"/>
    <x v="4"/>
    <n v="18"/>
    <n v="5300"/>
    <n v="95400"/>
  </r>
  <r>
    <x v="19"/>
    <n v="1226"/>
    <x v="6"/>
    <x v="0"/>
    <x v="1"/>
    <n v="14"/>
    <n v="6500"/>
    <n v="91000"/>
  </r>
  <r>
    <x v="26"/>
    <n v="1227"/>
    <x v="0"/>
    <x v="2"/>
    <x v="0"/>
    <n v="9"/>
    <n v="5500"/>
    <n v="49500"/>
  </r>
  <r>
    <x v="7"/>
    <n v="1228"/>
    <x v="5"/>
    <x v="2"/>
    <x v="2"/>
    <n v="19"/>
    <n v="2400"/>
    <n v="45600"/>
  </r>
  <r>
    <x v="12"/>
    <n v="1229"/>
    <x v="2"/>
    <x v="0"/>
    <x v="3"/>
    <n v="3"/>
    <n v="1700"/>
    <n v="5100"/>
  </r>
  <r>
    <x v="25"/>
    <n v="1230"/>
    <x v="2"/>
    <x v="1"/>
    <x v="4"/>
    <n v="6"/>
    <n v="900"/>
    <n v="5400"/>
  </r>
  <r>
    <x v="20"/>
    <n v="1231"/>
    <x v="5"/>
    <x v="2"/>
    <x v="0"/>
    <n v="13"/>
    <n v="1700"/>
    <n v="22100"/>
  </r>
  <r>
    <x v="15"/>
    <n v="1232"/>
    <x v="6"/>
    <x v="0"/>
    <x v="3"/>
    <n v="2"/>
    <n v="4500"/>
    <n v="9000"/>
  </r>
  <r>
    <x v="4"/>
    <n v="1233"/>
    <x v="7"/>
    <x v="1"/>
    <x v="0"/>
    <n v="13"/>
    <n v="6900"/>
    <n v="89700"/>
  </r>
  <r>
    <x v="5"/>
    <n v="1234"/>
    <x v="4"/>
    <x v="0"/>
    <x v="4"/>
    <n v="2"/>
    <n v="5700"/>
    <n v="11400"/>
  </r>
  <r>
    <x v="13"/>
    <n v="1235"/>
    <x v="5"/>
    <x v="0"/>
    <x v="0"/>
    <n v="17"/>
    <n v="5200"/>
    <n v="88400"/>
  </r>
  <r>
    <x v="3"/>
    <n v="1236"/>
    <x v="3"/>
    <x v="0"/>
    <x v="0"/>
    <n v="1"/>
    <n v="4100"/>
    <n v="4100"/>
  </r>
  <r>
    <x v="18"/>
    <n v="1237"/>
    <x v="2"/>
    <x v="1"/>
    <x v="3"/>
    <n v="7"/>
    <n v="3300"/>
    <n v="23100"/>
  </r>
  <r>
    <x v="16"/>
    <n v="1238"/>
    <x v="1"/>
    <x v="0"/>
    <x v="0"/>
    <n v="5"/>
    <n v="2500"/>
    <n v="12500"/>
  </r>
  <r>
    <x v="27"/>
    <n v="1239"/>
    <x v="4"/>
    <x v="2"/>
    <x v="3"/>
    <n v="3"/>
    <n v="4800"/>
    <n v="14400"/>
  </r>
  <r>
    <x v="0"/>
    <n v="1240"/>
    <x v="1"/>
    <x v="2"/>
    <x v="2"/>
    <n v="18"/>
    <n v="2900"/>
    <n v="52200"/>
  </r>
  <r>
    <x v="10"/>
    <n v="1241"/>
    <x v="3"/>
    <x v="2"/>
    <x v="4"/>
    <n v="13"/>
    <n v="3800"/>
    <n v="49400"/>
  </r>
  <r>
    <x v="18"/>
    <n v="1242"/>
    <x v="1"/>
    <x v="0"/>
    <x v="0"/>
    <n v="18"/>
    <n v="6800"/>
    <n v="122400"/>
  </r>
  <r>
    <x v="4"/>
    <n v="1243"/>
    <x v="6"/>
    <x v="1"/>
    <x v="4"/>
    <n v="12"/>
    <n v="3500"/>
    <n v="42000"/>
  </r>
  <r>
    <x v="0"/>
    <n v="1244"/>
    <x v="1"/>
    <x v="1"/>
    <x v="1"/>
    <n v="6"/>
    <n v="1900"/>
    <n v="11400"/>
  </r>
  <r>
    <x v="15"/>
    <n v="1245"/>
    <x v="2"/>
    <x v="1"/>
    <x v="0"/>
    <n v="7"/>
    <n v="5800"/>
    <n v="40600"/>
  </r>
  <r>
    <x v="10"/>
    <n v="1246"/>
    <x v="5"/>
    <x v="2"/>
    <x v="2"/>
    <n v="18"/>
    <n v="3200"/>
    <n v="57600"/>
  </r>
  <r>
    <x v="16"/>
    <n v="1247"/>
    <x v="7"/>
    <x v="1"/>
    <x v="1"/>
    <n v="4"/>
    <n v="5500"/>
    <n v="22000"/>
  </r>
  <r>
    <x v="12"/>
    <n v="1248"/>
    <x v="1"/>
    <x v="2"/>
    <x v="4"/>
    <n v="20"/>
    <n v="1800"/>
    <n v="36000"/>
  </r>
  <r>
    <x v="11"/>
    <n v="1249"/>
    <x v="2"/>
    <x v="2"/>
    <x v="1"/>
    <n v="3"/>
    <n v="4900"/>
    <n v="14700"/>
  </r>
  <r>
    <x v="25"/>
    <n v="1250"/>
    <x v="3"/>
    <x v="1"/>
    <x v="4"/>
    <n v="12"/>
    <n v="4300"/>
    <n v="51600"/>
  </r>
  <r>
    <x v="4"/>
    <n v="1251"/>
    <x v="5"/>
    <x v="2"/>
    <x v="1"/>
    <n v="2"/>
    <n v="1400"/>
    <n v="2800"/>
  </r>
  <r>
    <x v="14"/>
    <n v="1252"/>
    <x v="4"/>
    <x v="2"/>
    <x v="4"/>
    <n v="6"/>
    <n v="4000"/>
    <n v="24000"/>
  </r>
  <r>
    <x v="2"/>
    <n v="1253"/>
    <x v="0"/>
    <x v="0"/>
    <x v="4"/>
    <n v="5"/>
    <n v="2200"/>
    <n v="11000"/>
  </r>
  <r>
    <x v="19"/>
    <n v="1254"/>
    <x v="1"/>
    <x v="0"/>
    <x v="4"/>
    <n v="14"/>
    <n v="2100"/>
    <n v="29400"/>
  </r>
  <r>
    <x v="20"/>
    <n v="1255"/>
    <x v="5"/>
    <x v="0"/>
    <x v="2"/>
    <n v="3"/>
    <n v="800"/>
    <n v="2400"/>
  </r>
  <r>
    <x v="8"/>
    <n v="1256"/>
    <x v="3"/>
    <x v="1"/>
    <x v="1"/>
    <n v="6"/>
    <n v="4100"/>
    <n v="24600"/>
  </r>
  <r>
    <x v="5"/>
    <n v="1257"/>
    <x v="7"/>
    <x v="0"/>
    <x v="3"/>
    <n v="20"/>
    <n v="5300"/>
    <n v="106000"/>
  </r>
  <r>
    <x v="17"/>
    <n v="1258"/>
    <x v="4"/>
    <x v="2"/>
    <x v="0"/>
    <n v="18"/>
    <n v="5700"/>
    <n v="102600"/>
  </r>
  <r>
    <x v="19"/>
    <n v="1259"/>
    <x v="1"/>
    <x v="1"/>
    <x v="1"/>
    <n v="2"/>
    <n v="3200"/>
    <n v="6400"/>
  </r>
  <r>
    <x v="23"/>
    <n v="1260"/>
    <x v="4"/>
    <x v="1"/>
    <x v="0"/>
    <n v="2"/>
    <n v="2700"/>
    <n v="5400"/>
  </r>
  <r>
    <x v="16"/>
    <n v="1261"/>
    <x v="4"/>
    <x v="0"/>
    <x v="2"/>
    <n v="2"/>
    <n v="2900"/>
    <n v="5800"/>
  </r>
  <r>
    <x v="13"/>
    <n v="1262"/>
    <x v="3"/>
    <x v="1"/>
    <x v="3"/>
    <n v="10"/>
    <n v="4800"/>
    <n v="48000"/>
  </r>
  <r>
    <x v="21"/>
    <n v="1263"/>
    <x v="4"/>
    <x v="1"/>
    <x v="3"/>
    <n v="16"/>
    <n v="2700"/>
    <n v="43200"/>
  </r>
  <r>
    <x v="2"/>
    <n v="1264"/>
    <x v="1"/>
    <x v="2"/>
    <x v="4"/>
    <n v="20"/>
    <n v="4100"/>
    <n v="82000"/>
  </r>
  <r>
    <x v="21"/>
    <n v="1265"/>
    <x v="3"/>
    <x v="2"/>
    <x v="1"/>
    <n v="15"/>
    <n v="3000"/>
    <n v="45000"/>
  </r>
  <r>
    <x v="5"/>
    <n v="1266"/>
    <x v="1"/>
    <x v="0"/>
    <x v="4"/>
    <n v="18"/>
    <n v="900"/>
    <n v="16200"/>
  </r>
  <r>
    <x v="14"/>
    <n v="1267"/>
    <x v="2"/>
    <x v="0"/>
    <x v="2"/>
    <n v="3"/>
    <n v="5000"/>
    <n v="15000"/>
  </r>
  <r>
    <x v="8"/>
    <n v="1268"/>
    <x v="1"/>
    <x v="0"/>
    <x v="3"/>
    <n v="9"/>
    <n v="1200"/>
    <n v="10800"/>
  </r>
  <r>
    <x v="2"/>
    <n v="1269"/>
    <x v="3"/>
    <x v="1"/>
    <x v="3"/>
    <n v="10"/>
    <n v="3400"/>
    <n v="34000"/>
  </r>
  <r>
    <x v="26"/>
    <n v="1270"/>
    <x v="2"/>
    <x v="2"/>
    <x v="0"/>
    <n v="12"/>
    <n v="3000"/>
    <n v="36000"/>
  </r>
  <r>
    <x v="5"/>
    <n v="1271"/>
    <x v="5"/>
    <x v="1"/>
    <x v="0"/>
    <n v="7"/>
    <n v="3800"/>
    <n v="26600"/>
  </r>
  <r>
    <x v="20"/>
    <n v="1272"/>
    <x v="2"/>
    <x v="1"/>
    <x v="4"/>
    <n v="5"/>
    <n v="6500"/>
    <n v="32500"/>
  </r>
  <r>
    <x v="3"/>
    <n v="1273"/>
    <x v="5"/>
    <x v="2"/>
    <x v="0"/>
    <n v="12"/>
    <n v="2100"/>
    <n v="25200"/>
  </r>
  <r>
    <x v="12"/>
    <n v="1274"/>
    <x v="4"/>
    <x v="1"/>
    <x v="3"/>
    <n v="18"/>
    <n v="3400"/>
    <n v="61200"/>
  </r>
  <r>
    <x v="21"/>
    <n v="1275"/>
    <x v="5"/>
    <x v="0"/>
    <x v="4"/>
    <n v="4"/>
    <n v="6200"/>
    <n v="24800"/>
  </r>
  <r>
    <x v="19"/>
    <n v="1276"/>
    <x v="3"/>
    <x v="1"/>
    <x v="3"/>
    <n v="4"/>
    <n v="3800"/>
    <n v="15200"/>
  </r>
  <r>
    <x v="25"/>
    <n v="1277"/>
    <x v="0"/>
    <x v="2"/>
    <x v="3"/>
    <n v="18"/>
    <n v="4400"/>
    <n v="79200"/>
  </r>
  <r>
    <x v="26"/>
    <n v="1278"/>
    <x v="1"/>
    <x v="2"/>
    <x v="2"/>
    <n v="4"/>
    <n v="1100"/>
    <n v="4400"/>
  </r>
  <r>
    <x v="18"/>
    <n v="1279"/>
    <x v="6"/>
    <x v="2"/>
    <x v="4"/>
    <n v="3"/>
    <n v="7000"/>
    <n v="21000"/>
  </r>
  <r>
    <x v="20"/>
    <n v="1280"/>
    <x v="0"/>
    <x v="2"/>
    <x v="4"/>
    <n v="4"/>
    <n v="3100"/>
    <n v="12400"/>
  </r>
  <r>
    <x v="11"/>
    <n v="1281"/>
    <x v="5"/>
    <x v="1"/>
    <x v="3"/>
    <n v="12"/>
    <n v="4900"/>
    <n v="58800"/>
  </r>
  <r>
    <x v="15"/>
    <n v="1282"/>
    <x v="6"/>
    <x v="2"/>
    <x v="4"/>
    <n v="17"/>
    <n v="6700"/>
    <n v="113900"/>
  </r>
  <r>
    <x v="22"/>
    <n v="1283"/>
    <x v="5"/>
    <x v="0"/>
    <x v="1"/>
    <n v="14"/>
    <n v="5300"/>
    <n v="74200"/>
  </r>
  <r>
    <x v="11"/>
    <n v="1284"/>
    <x v="4"/>
    <x v="0"/>
    <x v="1"/>
    <n v="10"/>
    <n v="5900"/>
    <n v="59000"/>
  </r>
  <r>
    <x v="18"/>
    <n v="1285"/>
    <x v="1"/>
    <x v="2"/>
    <x v="2"/>
    <n v="7"/>
    <n v="2800"/>
    <n v="19600"/>
  </r>
  <r>
    <x v="6"/>
    <n v="1286"/>
    <x v="2"/>
    <x v="1"/>
    <x v="2"/>
    <n v="19"/>
    <n v="2100"/>
    <n v="39900"/>
  </r>
  <r>
    <x v="21"/>
    <n v="1287"/>
    <x v="5"/>
    <x v="0"/>
    <x v="1"/>
    <n v="20"/>
    <n v="6600"/>
    <n v="132000"/>
  </r>
  <r>
    <x v="5"/>
    <n v="1288"/>
    <x v="5"/>
    <x v="2"/>
    <x v="2"/>
    <n v="10"/>
    <n v="7000"/>
    <n v="70000"/>
  </r>
  <r>
    <x v="13"/>
    <n v="1289"/>
    <x v="5"/>
    <x v="1"/>
    <x v="0"/>
    <n v="9"/>
    <n v="6300"/>
    <n v="56700"/>
  </r>
  <r>
    <x v="6"/>
    <n v="1290"/>
    <x v="2"/>
    <x v="0"/>
    <x v="3"/>
    <n v="19"/>
    <n v="1400"/>
    <n v="26600"/>
  </r>
  <r>
    <x v="14"/>
    <n v="1291"/>
    <x v="1"/>
    <x v="2"/>
    <x v="4"/>
    <n v="11"/>
    <n v="1400"/>
    <n v="15400"/>
  </r>
  <r>
    <x v="5"/>
    <n v="1292"/>
    <x v="0"/>
    <x v="2"/>
    <x v="0"/>
    <n v="13"/>
    <n v="2500"/>
    <n v="32500"/>
  </r>
  <r>
    <x v="11"/>
    <n v="1293"/>
    <x v="7"/>
    <x v="1"/>
    <x v="4"/>
    <n v="18"/>
    <n v="4700"/>
    <n v="84600"/>
  </r>
  <r>
    <x v="9"/>
    <n v="1294"/>
    <x v="6"/>
    <x v="0"/>
    <x v="4"/>
    <n v="18"/>
    <n v="1600"/>
    <n v="28800"/>
  </r>
  <r>
    <x v="21"/>
    <n v="1295"/>
    <x v="7"/>
    <x v="1"/>
    <x v="4"/>
    <n v="5"/>
    <n v="2000"/>
    <n v="10000"/>
  </r>
  <r>
    <x v="18"/>
    <n v="1296"/>
    <x v="4"/>
    <x v="1"/>
    <x v="4"/>
    <n v="20"/>
    <n v="2500"/>
    <n v="50000"/>
  </r>
  <r>
    <x v="22"/>
    <n v="1297"/>
    <x v="2"/>
    <x v="0"/>
    <x v="3"/>
    <n v="1"/>
    <n v="5900"/>
    <n v="5900"/>
  </r>
  <r>
    <x v="22"/>
    <n v="1298"/>
    <x v="4"/>
    <x v="0"/>
    <x v="1"/>
    <n v="12"/>
    <n v="3200"/>
    <n v="38400"/>
  </r>
  <r>
    <x v="19"/>
    <n v="1299"/>
    <x v="7"/>
    <x v="2"/>
    <x v="4"/>
    <n v="8"/>
    <n v="5600"/>
    <n v="44800"/>
  </r>
  <r>
    <x v="4"/>
    <n v="1300"/>
    <x v="0"/>
    <x v="2"/>
    <x v="3"/>
    <n v="16"/>
    <n v="5900"/>
    <n v="94400"/>
  </r>
  <r>
    <x v="3"/>
    <n v="1301"/>
    <x v="1"/>
    <x v="2"/>
    <x v="4"/>
    <n v="10"/>
    <n v="2700"/>
    <n v="27000"/>
  </r>
  <r>
    <x v="21"/>
    <n v="1302"/>
    <x v="3"/>
    <x v="0"/>
    <x v="2"/>
    <n v="10"/>
    <n v="4500"/>
    <n v="45000"/>
  </r>
  <r>
    <x v="12"/>
    <n v="1303"/>
    <x v="2"/>
    <x v="1"/>
    <x v="2"/>
    <n v="14"/>
    <n v="5700"/>
    <n v="79800"/>
  </r>
  <r>
    <x v="0"/>
    <n v="1304"/>
    <x v="7"/>
    <x v="2"/>
    <x v="2"/>
    <n v="15"/>
    <n v="5700"/>
    <n v="85500"/>
  </r>
  <r>
    <x v="26"/>
    <n v="1305"/>
    <x v="1"/>
    <x v="0"/>
    <x v="1"/>
    <n v="3"/>
    <n v="2300"/>
    <n v="6900"/>
  </r>
  <r>
    <x v="10"/>
    <n v="1306"/>
    <x v="6"/>
    <x v="2"/>
    <x v="4"/>
    <n v="2"/>
    <n v="4300"/>
    <n v="8600"/>
  </r>
  <r>
    <x v="6"/>
    <n v="1307"/>
    <x v="6"/>
    <x v="0"/>
    <x v="1"/>
    <n v="20"/>
    <n v="4800"/>
    <n v="96000"/>
  </r>
  <r>
    <x v="22"/>
    <n v="1308"/>
    <x v="3"/>
    <x v="2"/>
    <x v="4"/>
    <n v="11"/>
    <n v="2200"/>
    <n v="24200"/>
  </r>
  <r>
    <x v="10"/>
    <n v="1309"/>
    <x v="7"/>
    <x v="1"/>
    <x v="0"/>
    <n v="5"/>
    <n v="5600"/>
    <n v="28000"/>
  </r>
  <r>
    <x v="18"/>
    <n v="1310"/>
    <x v="6"/>
    <x v="2"/>
    <x v="2"/>
    <n v="5"/>
    <n v="6900"/>
    <n v="34500"/>
  </r>
  <r>
    <x v="24"/>
    <n v="1311"/>
    <x v="4"/>
    <x v="2"/>
    <x v="3"/>
    <n v="7"/>
    <n v="700"/>
    <n v="4900"/>
  </r>
  <r>
    <x v="12"/>
    <n v="1312"/>
    <x v="7"/>
    <x v="2"/>
    <x v="0"/>
    <n v="12"/>
    <n v="1200"/>
    <n v="14400"/>
  </r>
  <r>
    <x v="13"/>
    <n v="1313"/>
    <x v="6"/>
    <x v="1"/>
    <x v="4"/>
    <n v="9"/>
    <n v="2400"/>
    <n v="21600"/>
  </r>
  <r>
    <x v="15"/>
    <n v="1314"/>
    <x v="2"/>
    <x v="0"/>
    <x v="4"/>
    <n v="6"/>
    <n v="1700"/>
    <n v="10200"/>
  </r>
  <r>
    <x v="10"/>
    <n v="1315"/>
    <x v="3"/>
    <x v="0"/>
    <x v="1"/>
    <n v="18"/>
    <n v="3900"/>
    <n v="70200"/>
  </r>
  <r>
    <x v="18"/>
    <n v="1316"/>
    <x v="0"/>
    <x v="0"/>
    <x v="0"/>
    <n v="8"/>
    <n v="6800"/>
    <n v="54400"/>
  </r>
  <r>
    <x v="3"/>
    <n v="1317"/>
    <x v="0"/>
    <x v="2"/>
    <x v="1"/>
    <n v="20"/>
    <n v="4700"/>
    <n v="94000"/>
  </r>
  <r>
    <x v="9"/>
    <n v="1318"/>
    <x v="0"/>
    <x v="2"/>
    <x v="2"/>
    <n v="18"/>
    <n v="1300"/>
    <n v="23400"/>
  </r>
  <r>
    <x v="15"/>
    <n v="1319"/>
    <x v="4"/>
    <x v="1"/>
    <x v="0"/>
    <n v="20"/>
    <n v="1800"/>
    <n v="36000"/>
  </r>
  <r>
    <x v="19"/>
    <n v="1320"/>
    <x v="7"/>
    <x v="0"/>
    <x v="1"/>
    <n v="20"/>
    <n v="1300"/>
    <n v="26000"/>
  </r>
  <r>
    <x v="10"/>
    <n v="1321"/>
    <x v="1"/>
    <x v="2"/>
    <x v="4"/>
    <n v="11"/>
    <n v="1200"/>
    <n v="13200"/>
  </r>
  <r>
    <x v="4"/>
    <n v="1322"/>
    <x v="1"/>
    <x v="0"/>
    <x v="0"/>
    <n v="17"/>
    <n v="4100"/>
    <n v="69700"/>
  </r>
  <r>
    <x v="4"/>
    <n v="1323"/>
    <x v="6"/>
    <x v="1"/>
    <x v="2"/>
    <n v="20"/>
    <n v="6200"/>
    <n v="124000"/>
  </r>
  <r>
    <x v="24"/>
    <n v="1324"/>
    <x v="2"/>
    <x v="0"/>
    <x v="1"/>
    <n v="6"/>
    <n v="3100"/>
    <n v="18600"/>
  </r>
  <r>
    <x v="14"/>
    <n v="1325"/>
    <x v="1"/>
    <x v="1"/>
    <x v="3"/>
    <n v="7"/>
    <n v="2800"/>
    <n v="19600"/>
  </r>
  <r>
    <x v="21"/>
    <n v="1326"/>
    <x v="7"/>
    <x v="0"/>
    <x v="4"/>
    <n v="9"/>
    <n v="2400"/>
    <n v="21600"/>
  </r>
  <r>
    <x v="13"/>
    <n v="1327"/>
    <x v="5"/>
    <x v="0"/>
    <x v="3"/>
    <n v="4"/>
    <n v="4400"/>
    <n v="17600"/>
  </r>
  <r>
    <x v="1"/>
    <n v="1328"/>
    <x v="1"/>
    <x v="2"/>
    <x v="1"/>
    <n v="20"/>
    <n v="2100"/>
    <n v="42000"/>
  </r>
  <r>
    <x v="4"/>
    <n v="1329"/>
    <x v="1"/>
    <x v="1"/>
    <x v="1"/>
    <n v="7"/>
    <n v="3900"/>
    <n v="27300"/>
  </r>
  <r>
    <x v="13"/>
    <n v="1330"/>
    <x v="1"/>
    <x v="2"/>
    <x v="2"/>
    <n v="16"/>
    <n v="2600"/>
    <n v="41600"/>
  </r>
  <r>
    <x v="12"/>
    <n v="1331"/>
    <x v="2"/>
    <x v="1"/>
    <x v="0"/>
    <n v="15"/>
    <n v="1500"/>
    <n v="22500"/>
  </r>
  <r>
    <x v="15"/>
    <n v="1332"/>
    <x v="6"/>
    <x v="1"/>
    <x v="3"/>
    <n v="3"/>
    <n v="700"/>
    <n v="2100"/>
  </r>
  <r>
    <x v="4"/>
    <n v="1333"/>
    <x v="4"/>
    <x v="0"/>
    <x v="3"/>
    <n v="14"/>
    <n v="1900"/>
    <n v="26600"/>
  </r>
  <r>
    <x v="10"/>
    <n v="1334"/>
    <x v="2"/>
    <x v="1"/>
    <x v="4"/>
    <n v="20"/>
    <n v="6600"/>
    <n v="132000"/>
  </r>
  <r>
    <x v="3"/>
    <n v="1335"/>
    <x v="2"/>
    <x v="0"/>
    <x v="2"/>
    <n v="18"/>
    <n v="3600"/>
    <n v="64800"/>
  </r>
  <r>
    <x v="18"/>
    <n v="1336"/>
    <x v="4"/>
    <x v="0"/>
    <x v="0"/>
    <n v="13"/>
    <n v="3300"/>
    <n v="42900"/>
  </r>
  <r>
    <x v="9"/>
    <n v="1337"/>
    <x v="1"/>
    <x v="1"/>
    <x v="3"/>
    <n v="15"/>
    <n v="6300"/>
    <n v="94500"/>
  </r>
  <r>
    <x v="19"/>
    <n v="1338"/>
    <x v="2"/>
    <x v="0"/>
    <x v="3"/>
    <n v="13"/>
    <n v="3100"/>
    <n v="40300"/>
  </r>
  <r>
    <x v="19"/>
    <n v="1339"/>
    <x v="5"/>
    <x v="0"/>
    <x v="0"/>
    <n v="18"/>
    <n v="3200"/>
    <n v="57600"/>
  </r>
  <r>
    <x v="9"/>
    <n v="1340"/>
    <x v="4"/>
    <x v="0"/>
    <x v="0"/>
    <n v="14"/>
    <n v="2500"/>
    <n v="35000"/>
  </r>
  <r>
    <x v="24"/>
    <n v="1341"/>
    <x v="2"/>
    <x v="1"/>
    <x v="2"/>
    <n v="20"/>
    <n v="6900"/>
    <n v="138000"/>
  </r>
  <r>
    <x v="5"/>
    <n v="1342"/>
    <x v="5"/>
    <x v="1"/>
    <x v="0"/>
    <n v="1"/>
    <n v="1300"/>
    <n v="1300"/>
  </r>
  <r>
    <x v="5"/>
    <n v="1343"/>
    <x v="6"/>
    <x v="0"/>
    <x v="4"/>
    <n v="7"/>
    <n v="5800"/>
    <n v="40600"/>
  </r>
  <r>
    <x v="23"/>
    <n v="1344"/>
    <x v="5"/>
    <x v="1"/>
    <x v="0"/>
    <n v="9"/>
    <n v="4200"/>
    <n v="37800"/>
  </r>
  <r>
    <x v="25"/>
    <n v="1345"/>
    <x v="1"/>
    <x v="0"/>
    <x v="3"/>
    <n v="15"/>
    <n v="700"/>
    <n v="10500"/>
  </r>
  <r>
    <x v="20"/>
    <n v="1346"/>
    <x v="0"/>
    <x v="0"/>
    <x v="1"/>
    <n v="14"/>
    <n v="5800"/>
    <n v="81200"/>
  </r>
  <r>
    <x v="1"/>
    <n v="1347"/>
    <x v="4"/>
    <x v="0"/>
    <x v="0"/>
    <n v="20"/>
    <n v="6900"/>
    <n v="138000"/>
  </r>
  <r>
    <x v="1"/>
    <n v="1348"/>
    <x v="5"/>
    <x v="1"/>
    <x v="3"/>
    <n v="7"/>
    <n v="1000"/>
    <n v="7000"/>
  </r>
  <r>
    <x v="20"/>
    <n v="1349"/>
    <x v="6"/>
    <x v="1"/>
    <x v="1"/>
    <n v="20"/>
    <n v="5500"/>
    <n v="110000"/>
  </r>
  <r>
    <x v="3"/>
    <n v="1350"/>
    <x v="0"/>
    <x v="0"/>
    <x v="0"/>
    <n v="10"/>
    <n v="5100"/>
    <n v="51000"/>
  </r>
  <r>
    <x v="4"/>
    <n v="1351"/>
    <x v="1"/>
    <x v="0"/>
    <x v="1"/>
    <n v="17"/>
    <n v="3500"/>
    <n v="59500"/>
  </r>
  <r>
    <x v="16"/>
    <n v="1352"/>
    <x v="5"/>
    <x v="1"/>
    <x v="4"/>
    <n v="3"/>
    <n v="5500"/>
    <n v="16500"/>
  </r>
  <r>
    <x v="7"/>
    <n v="1353"/>
    <x v="1"/>
    <x v="0"/>
    <x v="4"/>
    <n v="16"/>
    <n v="6900"/>
    <n v="110400"/>
  </r>
  <r>
    <x v="0"/>
    <n v="1354"/>
    <x v="0"/>
    <x v="1"/>
    <x v="4"/>
    <n v="7"/>
    <n v="2900"/>
    <n v="20300"/>
  </r>
  <r>
    <x v="2"/>
    <n v="1355"/>
    <x v="4"/>
    <x v="0"/>
    <x v="2"/>
    <n v="1"/>
    <n v="5300"/>
    <n v="5300"/>
  </r>
  <r>
    <x v="21"/>
    <n v="1356"/>
    <x v="0"/>
    <x v="2"/>
    <x v="3"/>
    <n v="10"/>
    <n v="5900"/>
    <n v="59000"/>
  </r>
  <r>
    <x v="26"/>
    <n v="1357"/>
    <x v="7"/>
    <x v="2"/>
    <x v="1"/>
    <n v="16"/>
    <n v="7000"/>
    <n v="112000"/>
  </r>
  <r>
    <x v="20"/>
    <n v="1358"/>
    <x v="4"/>
    <x v="2"/>
    <x v="1"/>
    <n v="5"/>
    <n v="5000"/>
    <n v="25000"/>
  </r>
  <r>
    <x v="27"/>
    <n v="1359"/>
    <x v="6"/>
    <x v="1"/>
    <x v="0"/>
    <n v="16"/>
    <n v="4600"/>
    <n v="73600"/>
  </r>
  <r>
    <x v="1"/>
    <n v="1360"/>
    <x v="1"/>
    <x v="1"/>
    <x v="2"/>
    <n v="12"/>
    <n v="2000"/>
    <n v="24000"/>
  </r>
  <r>
    <x v="20"/>
    <n v="1361"/>
    <x v="5"/>
    <x v="0"/>
    <x v="4"/>
    <n v="20"/>
    <n v="900"/>
    <n v="18000"/>
  </r>
  <r>
    <x v="23"/>
    <n v="1362"/>
    <x v="1"/>
    <x v="1"/>
    <x v="2"/>
    <n v="2"/>
    <n v="5100"/>
    <n v="10200"/>
  </r>
  <r>
    <x v="21"/>
    <n v="1363"/>
    <x v="1"/>
    <x v="2"/>
    <x v="4"/>
    <n v="1"/>
    <n v="5100"/>
    <n v="5100"/>
  </r>
  <r>
    <x v="3"/>
    <n v="1364"/>
    <x v="5"/>
    <x v="0"/>
    <x v="4"/>
    <n v="17"/>
    <n v="900"/>
    <n v="15300"/>
  </r>
  <r>
    <x v="25"/>
    <n v="1365"/>
    <x v="1"/>
    <x v="1"/>
    <x v="2"/>
    <n v="18"/>
    <n v="4600"/>
    <n v="82800"/>
  </r>
  <r>
    <x v="19"/>
    <n v="1366"/>
    <x v="6"/>
    <x v="0"/>
    <x v="4"/>
    <n v="20"/>
    <n v="5400"/>
    <n v="108000"/>
  </r>
  <r>
    <x v="27"/>
    <n v="1367"/>
    <x v="2"/>
    <x v="2"/>
    <x v="4"/>
    <n v="13"/>
    <n v="5200"/>
    <n v="67600"/>
  </r>
  <r>
    <x v="23"/>
    <n v="1368"/>
    <x v="1"/>
    <x v="0"/>
    <x v="4"/>
    <n v="12"/>
    <n v="4700"/>
    <n v="56400"/>
  </r>
  <r>
    <x v="23"/>
    <n v="1369"/>
    <x v="3"/>
    <x v="2"/>
    <x v="1"/>
    <n v="11"/>
    <n v="2400"/>
    <n v="26400"/>
  </r>
  <r>
    <x v="12"/>
    <n v="1370"/>
    <x v="3"/>
    <x v="2"/>
    <x v="1"/>
    <n v="18"/>
    <n v="2700"/>
    <n v="48600"/>
  </r>
  <r>
    <x v="1"/>
    <n v="1371"/>
    <x v="0"/>
    <x v="0"/>
    <x v="4"/>
    <n v="2"/>
    <n v="1900"/>
    <n v="3800"/>
  </r>
  <r>
    <x v="16"/>
    <n v="1372"/>
    <x v="5"/>
    <x v="2"/>
    <x v="2"/>
    <n v="9"/>
    <n v="6800"/>
    <n v="61200"/>
  </r>
  <r>
    <x v="10"/>
    <n v="1373"/>
    <x v="0"/>
    <x v="1"/>
    <x v="1"/>
    <n v="5"/>
    <n v="2200"/>
    <n v="11000"/>
  </r>
  <r>
    <x v="4"/>
    <n v="1374"/>
    <x v="3"/>
    <x v="0"/>
    <x v="2"/>
    <n v="7"/>
    <n v="4200"/>
    <n v="29400"/>
  </r>
  <r>
    <x v="17"/>
    <n v="1375"/>
    <x v="1"/>
    <x v="0"/>
    <x v="0"/>
    <n v="14"/>
    <n v="2800"/>
    <n v="39200"/>
  </r>
  <r>
    <x v="19"/>
    <n v="1376"/>
    <x v="2"/>
    <x v="0"/>
    <x v="4"/>
    <n v="1"/>
    <n v="3400"/>
    <n v="3400"/>
  </r>
  <r>
    <x v="13"/>
    <n v="1377"/>
    <x v="3"/>
    <x v="0"/>
    <x v="0"/>
    <n v="3"/>
    <n v="7000"/>
    <n v="21000"/>
  </r>
  <r>
    <x v="21"/>
    <n v="1378"/>
    <x v="5"/>
    <x v="0"/>
    <x v="0"/>
    <n v="2"/>
    <n v="1100"/>
    <n v="2200"/>
  </r>
  <r>
    <x v="0"/>
    <n v="1379"/>
    <x v="6"/>
    <x v="1"/>
    <x v="1"/>
    <n v="9"/>
    <n v="3000"/>
    <n v="27000"/>
  </r>
  <r>
    <x v="16"/>
    <n v="1380"/>
    <x v="0"/>
    <x v="0"/>
    <x v="0"/>
    <n v="4"/>
    <n v="2500"/>
    <n v="10000"/>
  </r>
  <r>
    <x v="10"/>
    <n v="1381"/>
    <x v="3"/>
    <x v="1"/>
    <x v="4"/>
    <n v="16"/>
    <n v="4700"/>
    <n v="75200"/>
  </r>
  <r>
    <x v="26"/>
    <n v="1382"/>
    <x v="1"/>
    <x v="2"/>
    <x v="3"/>
    <n v="9"/>
    <n v="5900"/>
    <n v="53100"/>
  </r>
  <r>
    <x v="20"/>
    <n v="1383"/>
    <x v="1"/>
    <x v="1"/>
    <x v="4"/>
    <n v="18"/>
    <n v="3600"/>
    <n v="64800"/>
  </r>
  <r>
    <x v="6"/>
    <n v="1384"/>
    <x v="5"/>
    <x v="1"/>
    <x v="3"/>
    <n v="4"/>
    <n v="1600"/>
    <n v="6400"/>
  </r>
  <r>
    <x v="23"/>
    <n v="1385"/>
    <x v="2"/>
    <x v="0"/>
    <x v="0"/>
    <n v="10"/>
    <n v="2300"/>
    <n v="23000"/>
  </r>
  <r>
    <x v="27"/>
    <n v="1386"/>
    <x v="3"/>
    <x v="1"/>
    <x v="4"/>
    <n v="5"/>
    <n v="700"/>
    <n v="3500"/>
  </r>
  <r>
    <x v="22"/>
    <n v="1387"/>
    <x v="2"/>
    <x v="2"/>
    <x v="4"/>
    <n v="8"/>
    <n v="1600"/>
    <n v="12800"/>
  </r>
  <r>
    <x v="10"/>
    <n v="1388"/>
    <x v="1"/>
    <x v="1"/>
    <x v="0"/>
    <n v="9"/>
    <n v="3700"/>
    <n v="33300"/>
  </r>
  <r>
    <x v="14"/>
    <n v="1389"/>
    <x v="5"/>
    <x v="0"/>
    <x v="2"/>
    <n v="16"/>
    <n v="5600"/>
    <n v="89600"/>
  </r>
  <r>
    <x v="0"/>
    <n v="1390"/>
    <x v="4"/>
    <x v="2"/>
    <x v="2"/>
    <n v="20"/>
    <n v="6700"/>
    <n v="134000"/>
  </r>
  <r>
    <x v="23"/>
    <n v="1391"/>
    <x v="7"/>
    <x v="0"/>
    <x v="2"/>
    <n v="2"/>
    <n v="2900"/>
    <n v="5800"/>
  </r>
  <r>
    <x v="25"/>
    <n v="1392"/>
    <x v="5"/>
    <x v="1"/>
    <x v="1"/>
    <n v="7"/>
    <n v="2200"/>
    <n v="15400"/>
  </r>
  <r>
    <x v="7"/>
    <n v="1393"/>
    <x v="5"/>
    <x v="0"/>
    <x v="1"/>
    <n v="18"/>
    <n v="600"/>
    <n v="10800"/>
  </r>
  <r>
    <x v="5"/>
    <n v="1394"/>
    <x v="1"/>
    <x v="2"/>
    <x v="2"/>
    <n v="4"/>
    <n v="5600"/>
    <n v="22400"/>
  </r>
  <r>
    <x v="16"/>
    <n v="1395"/>
    <x v="0"/>
    <x v="0"/>
    <x v="3"/>
    <n v="6"/>
    <n v="3400"/>
    <n v="20400"/>
  </r>
  <r>
    <x v="14"/>
    <n v="1396"/>
    <x v="5"/>
    <x v="0"/>
    <x v="0"/>
    <n v="6"/>
    <n v="4100"/>
    <n v="24600"/>
  </r>
  <r>
    <x v="11"/>
    <n v="1397"/>
    <x v="4"/>
    <x v="0"/>
    <x v="1"/>
    <n v="4"/>
    <n v="5200"/>
    <n v="20800"/>
  </r>
  <r>
    <x v="15"/>
    <n v="1398"/>
    <x v="1"/>
    <x v="0"/>
    <x v="1"/>
    <n v="8"/>
    <n v="6600"/>
    <n v="52800"/>
  </r>
  <r>
    <x v="21"/>
    <n v="1399"/>
    <x v="5"/>
    <x v="2"/>
    <x v="4"/>
    <n v="20"/>
    <n v="6100"/>
    <n v="122000"/>
  </r>
  <r>
    <x v="24"/>
    <n v="1400"/>
    <x v="0"/>
    <x v="0"/>
    <x v="3"/>
    <n v="1"/>
    <n v="5900"/>
    <n v="5900"/>
  </r>
  <r>
    <x v="20"/>
    <n v="1401"/>
    <x v="1"/>
    <x v="2"/>
    <x v="0"/>
    <n v="7"/>
    <n v="2100"/>
    <n v="14700"/>
  </r>
  <r>
    <x v="11"/>
    <n v="1402"/>
    <x v="5"/>
    <x v="0"/>
    <x v="0"/>
    <n v="15"/>
    <n v="4700"/>
    <n v="70500"/>
  </r>
  <r>
    <x v="5"/>
    <n v="1403"/>
    <x v="5"/>
    <x v="0"/>
    <x v="0"/>
    <n v="14"/>
    <n v="4000"/>
    <n v="56000"/>
  </r>
  <r>
    <x v="1"/>
    <n v="1404"/>
    <x v="3"/>
    <x v="1"/>
    <x v="4"/>
    <n v="5"/>
    <n v="3600"/>
    <n v="18000"/>
  </r>
  <r>
    <x v="19"/>
    <n v="1405"/>
    <x v="0"/>
    <x v="0"/>
    <x v="3"/>
    <n v="10"/>
    <n v="6800"/>
    <n v="68000"/>
  </r>
  <r>
    <x v="12"/>
    <n v="1406"/>
    <x v="3"/>
    <x v="1"/>
    <x v="2"/>
    <n v="17"/>
    <n v="2000"/>
    <n v="34000"/>
  </r>
  <r>
    <x v="6"/>
    <n v="1407"/>
    <x v="2"/>
    <x v="0"/>
    <x v="2"/>
    <n v="13"/>
    <n v="4600"/>
    <n v="59800"/>
  </r>
  <r>
    <x v="18"/>
    <n v="1408"/>
    <x v="3"/>
    <x v="1"/>
    <x v="4"/>
    <n v="18"/>
    <n v="3000"/>
    <n v="54000"/>
  </r>
  <r>
    <x v="26"/>
    <n v="1409"/>
    <x v="3"/>
    <x v="2"/>
    <x v="2"/>
    <n v="19"/>
    <n v="4800"/>
    <n v="91200"/>
  </r>
  <r>
    <x v="14"/>
    <n v="1410"/>
    <x v="2"/>
    <x v="1"/>
    <x v="2"/>
    <n v="11"/>
    <n v="1700"/>
    <n v="18700"/>
  </r>
  <r>
    <x v="21"/>
    <n v="1411"/>
    <x v="6"/>
    <x v="2"/>
    <x v="2"/>
    <n v="15"/>
    <n v="4300"/>
    <n v="64500"/>
  </r>
  <r>
    <x v="24"/>
    <n v="1412"/>
    <x v="1"/>
    <x v="1"/>
    <x v="2"/>
    <n v="6"/>
    <n v="3800"/>
    <n v="22800"/>
  </r>
  <r>
    <x v="9"/>
    <n v="1413"/>
    <x v="2"/>
    <x v="1"/>
    <x v="3"/>
    <n v="1"/>
    <n v="3100"/>
    <n v="3100"/>
  </r>
  <r>
    <x v="11"/>
    <n v="1414"/>
    <x v="3"/>
    <x v="2"/>
    <x v="3"/>
    <n v="11"/>
    <n v="1500"/>
    <n v="16500"/>
  </r>
  <r>
    <x v="1"/>
    <n v="1415"/>
    <x v="7"/>
    <x v="2"/>
    <x v="2"/>
    <n v="10"/>
    <n v="6900"/>
    <n v="69000"/>
  </r>
  <r>
    <x v="25"/>
    <n v="1416"/>
    <x v="7"/>
    <x v="0"/>
    <x v="0"/>
    <n v="16"/>
    <n v="6700"/>
    <n v="107200"/>
  </r>
  <r>
    <x v="16"/>
    <n v="1417"/>
    <x v="5"/>
    <x v="2"/>
    <x v="2"/>
    <n v="20"/>
    <n v="3900"/>
    <n v="78000"/>
  </r>
  <r>
    <x v="7"/>
    <n v="1418"/>
    <x v="2"/>
    <x v="2"/>
    <x v="3"/>
    <n v="19"/>
    <n v="3900"/>
    <n v="74100"/>
  </r>
  <r>
    <x v="25"/>
    <n v="1419"/>
    <x v="1"/>
    <x v="1"/>
    <x v="0"/>
    <n v="3"/>
    <n v="5300"/>
    <n v="15900"/>
  </r>
  <r>
    <x v="24"/>
    <n v="1420"/>
    <x v="1"/>
    <x v="0"/>
    <x v="3"/>
    <n v="7"/>
    <n v="1100"/>
    <n v="7700"/>
  </r>
  <r>
    <x v="13"/>
    <n v="1421"/>
    <x v="6"/>
    <x v="0"/>
    <x v="2"/>
    <n v="11"/>
    <n v="3800"/>
    <n v="41800"/>
  </r>
  <r>
    <x v="25"/>
    <n v="1422"/>
    <x v="1"/>
    <x v="0"/>
    <x v="2"/>
    <n v="13"/>
    <n v="5900"/>
    <n v="76700"/>
  </r>
  <r>
    <x v="26"/>
    <n v="1423"/>
    <x v="6"/>
    <x v="1"/>
    <x v="3"/>
    <n v="4"/>
    <n v="5400"/>
    <n v="21600"/>
  </r>
  <r>
    <x v="0"/>
    <n v="1424"/>
    <x v="0"/>
    <x v="0"/>
    <x v="0"/>
    <n v="2"/>
    <n v="3100"/>
    <n v="6200"/>
  </r>
  <r>
    <x v="0"/>
    <n v="1425"/>
    <x v="6"/>
    <x v="0"/>
    <x v="2"/>
    <n v="3"/>
    <n v="7000"/>
    <n v="21000"/>
  </r>
  <r>
    <x v="12"/>
    <n v="1426"/>
    <x v="3"/>
    <x v="1"/>
    <x v="0"/>
    <n v="12"/>
    <n v="4300"/>
    <n v="51600"/>
  </r>
  <r>
    <x v="14"/>
    <n v="1427"/>
    <x v="1"/>
    <x v="2"/>
    <x v="4"/>
    <n v="5"/>
    <n v="3700"/>
    <n v="18500"/>
  </r>
  <r>
    <x v="17"/>
    <n v="1428"/>
    <x v="6"/>
    <x v="2"/>
    <x v="4"/>
    <n v="16"/>
    <n v="5000"/>
    <n v="80000"/>
  </r>
  <r>
    <x v="17"/>
    <n v="1429"/>
    <x v="6"/>
    <x v="2"/>
    <x v="3"/>
    <n v="2"/>
    <n v="5400"/>
    <n v="10800"/>
  </r>
  <r>
    <x v="26"/>
    <n v="1430"/>
    <x v="7"/>
    <x v="1"/>
    <x v="3"/>
    <n v="13"/>
    <n v="4700"/>
    <n v="61100"/>
  </r>
  <r>
    <x v="5"/>
    <n v="1431"/>
    <x v="2"/>
    <x v="1"/>
    <x v="3"/>
    <n v="11"/>
    <n v="2200"/>
    <n v="24200"/>
  </r>
  <r>
    <x v="6"/>
    <n v="1432"/>
    <x v="0"/>
    <x v="2"/>
    <x v="3"/>
    <n v="4"/>
    <n v="6100"/>
    <n v="24400"/>
  </r>
  <r>
    <x v="24"/>
    <n v="1433"/>
    <x v="0"/>
    <x v="0"/>
    <x v="2"/>
    <n v="14"/>
    <n v="5300"/>
    <n v="74200"/>
  </r>
  <r>
    <x v="11"/>
    <n v="1434"/>
    <x v="3"/>
    <x v="0"/>
    <x v="2"/>
    <n v="2"/>
    <n v="5900"/>
    <n v="11800"/>
  </r>
  <r>
    <x v="4"/>
    <n v="1435"/>
    <x v="5"/>
    <x v="1"/>
    <x v="1"/>
    <n v="8"/>
    <n v="1500"/>
    <n v="12000"/>
  </r>
  <r>
    <x v="6"/>
    <n v="1436"/>
    <x v="3"/>
    <x v="0"/>
    <x v="0"/>
    <n v="12"/>
    <n v="3200"/>
    <n v="38400"/>
  </r>
  <r>
    <x v="7"/>
    <n v="1437"/>
    <x v="5"/>
    <x v="2"/>
    <x v="3"/>
    <n v="20"/>
    <n v="3300"/>
    <n v="66000"/>
  </r>
  <r>
    <x v="15"/>
    <n v="1438"/>
    <x v="2"/>
    <x v="0"/>
    <x v="2"/>
    <n v="7"/>
    <n v="5900"/>
    <n v="41300"/>
  </r>
  <r>
    <x v="7"/>
    <n v="1439"/>
    <x v="2"/>
    <x v="2"/>
    <x v="3"/>
    <n v="16"/>
    <n v="2200"/>
    <n v="35200"/>
  </r>
  <r>
    <x v="23"/>
    <n v="1440"/>
    <x v="0"/>
    <x v="0"/>
    <x v="2"/>
    <n v="12"/>
    <n v="6800"/>
    <n v="81600"/>
  </r>
  <r>
    <x v="25"/>
    <n v="1441"/>
    <x v="0"/>
    <x v="0"/>
    <x v="2"/>
    <n v="2"/>
    <n v="3000"/>
    <n v="6000"/>
  </r>
  <r>
    <x v="9"/>
    <n v="1442"/>
    <x v="4"/>
    <x v="0"/>
    <x v="2"/>
    <n v="6"/>
    <n v="5500"/>
    <n v="33000"/>
  </r>
  <r>
    <x v="27"/>
    <n v="1443"/>
    <x v="6"/>
    <x v="1"/>
    <x v="4"/>
    <n v="5"/>
    <n v="1400"/>
    <n v="7000"/>
  </r>
  <r>
    <x v="8"/>
    <n v="1444"/>
    <x v="2"/>
    <x v="1"/>
    <x v="1"/>
    <n v="11"/>
    <n v="4800"/>
    <n v="52800"/>
  </r>
  <r>
    <x v="2"/>
    <n v="1445"/>
    <x v="2"/>
    <x v="0"/>
    <x v="1"/>
    <n v="6"/>
    <n v="600"/>
    <n v="3600"/>
  </r>
  <r>
    <x v="19"/>
    <n v="1446"/>
    <x v="3"/>
    <x v="0"/>
    <x v="2"/>
    <n v="15"/>
    <n v="3000"/>
    <n v="45000"/>
  </r>
  <r>
    <x v="2"/>
    <n v="1447"/>
    <x v="5"/>
    <x v="1"/>
    <x v="3"/>
    <n v="8"/>
    <n v="5000"/>
    <n v="40000"/>
  </r>
  <r>
    <x v="14"/>
    <n v="1448"/>
    <x v="5"/>
    <x v="1"/>
    <x v="2"/>
    <n v="14"/>
    <n v="1400"/>
    <n v="19600"/>
  </r>
  <r>
    <x v="1"/>
    <n v="1449"/>
    <x v="2"/>
    <x v="0"/>
    <x v="1"/>
    <n v="20"/>
    <n v="2500"/>
    <n v="50000"/>
  </r>
  <r>
    <x v="15"/>
    <n v="1450"/>
    <x v="6"/>
    <x v="1"/>
    <x v="1"/>
    <n v="9"/>
    <n v="3200"/>
    <n v="28800"/>
  </r>
  <r>
    <x v="26"/>
    <n v="1451"/>
    <x v="5"/>
    <x v="1"/>
    <x v="1"/>
    <n v="12"/>
    <n v="2600"/>
    <n v="31200"/>
  </r>
  <r>
    <x v="23"/>
    <n v="1452"/>
    <x v="7"/>
    <x v="1"/>
    <x v="3"/>
    <n v="5"/>
    <n v="1900"/>
    <n v="9500"/>
  </r>
  <r>
    <x v="24"/>
    <n v="1453"/>
    <x v="1"/>
    <x v="1"/>
    <x v="2"/>
    <n v="1"/>
    <n v="2900"/>
    <n v="2900"/>
  </r>
  <r>
    <x v="18"/>
    <n v="1454"/>
    <x v="1"/>
    <x v="2"/>
    <x v="1"/>
    <n v="3"/>
    <n v="1200"/>
    <n v="3600"/>
  </r>
  <r>
    <x v="11"/>
    <n v="1455"/>
    <x v="4"/>
    <x v="2"/>
    <x v="1"/>
    <n v="3"/>
    <n v="4100"/>
    <n v="12300"/>
  </r>
  <r>
    <x v="8"/>
    <n v="1456"/>
    <x v="2"/>
    <x v="1"/>
    <x v="2"/>
    <n v="20"/>
    <n v="6800"/>
    <n v="136000"/>
  </r>
  <r>
    <x v="10"/>
    <n v="1457"/>
    <x v="1"/>
    <x v="0"/>
    <x v="0"/>
    <n v="6"/>
    <n v="800"/>
    <n v="4800"/>
  </r>
  <r>
    <x v="27"/>
    <n v="1458"/>
    <x v="2"/>
    <x v="1"/>
    <x v="2"/>
    <n v="6"/>
    <n v="1100"/>
    <n v="6600"/>
  </r>
  <r>
    <x v="17"/>
    <n v="1459"/>
    <x v="3"/>
    <x v="1"/>
    <x v="2"/>
    <n v="15"/>
    <n v="2900"/>
    <n v="43500"/>
  </r>
  <r>
    <x v="21"/>
    <n v="1460"/>
    <x v="5"/>
    <x v="0"/>
    <x v="0"/>
    <n v="20"/>
    <n v="5100"/>
    <n v="102000"/>
  </r>
  <r>
    <x v="13"/>
    <n v="1461"/>
    <x v="2"/>
    <x v="2"/>
    <x v="4"/>
    <n v="4"/>
    <n v="3800"/>
    <n v="15200"/>
  </r>
  <r>
    <x v="27"/>
    <n v="1462"/>
    <x v="2"/>
    <x v="1"/>
    <x v="0"/>
    <n v="10"/>
    <n v="1800"/>
    <n v="18000"/>
  </r>
  <r>
    <x v="25"/>
    <n v="1463"/>
    <x v="2"/>
    <x v="1"/>
    <x v="0"/>
    <n v="4"/>
    <n v="6000"/>
    <n v="24000"/>
  </r>
  <r>
    <x v="21"/>
    <n v="1464"/>
    <x v="5"/>
    <x v="0"/>
    <x v="3"/>
    <n v="18"/>
    <n v="2000"/>
    <n v="36000"/>
  </r>
  <r>
    <x v="16"/>
    <n v="1465"/>
    <x v="3"/>
    <x v="0"/>
    <x v="3"/>
    <n v="7"/>
    <n v="3600"/>
    <n v="25200"/>
  </r>
  <r>
    <x v="6"/>
    <n v="1466"/>
    <x v="6"/>
    <x v="1"/>
    <x v="3"/>
    <n v="8"/>
    <n v="4300"/>
    <n v="34400"/>
  </r>
  <r>
    <x v="1"/>
    <n v="1467"/>
    <x v="7"/>
    <x v="0"/>
    <x v="4"/>
    <n v="9"/>
    <n v="6000"/>
    <n v="54000"/>
  </r>
  <r>
    <x v="3"/>
    <n v="1468"/>
    <x v="4"/>
    <x v="1"/>
    <x v="1"/>
    <n v="19"/>
    <n v="4000"/>
    <n v="76000"/>
  </r>
  <r>
    <x v="18"/>
    <n v="1469"/>
    <x v="6"/>
    <x v="1"/>
    <x v="1"/>
    <n v="5"/>
    <n v="3000"/>
    <n v="15000"/>
  </r>
  <r>
    <x v="11"/>
    <n v="1470"/>
    <x v="6"/>
    <x v="0"/>
    <x v="1"/>
    <n v="3"/>
    <n v="5200"/>
    <n v="15600"/>
  </r>
  <r>
    <x v="19"/>
    <n v="1471"/>
    <x v="4"/>
    <x v="0"/>
    <x v="0"/>
    <n v="20"/>
    <n v="4400"/>
    <n v="88000"/>
  </r>
  <r>
    <x v="14"/>
    <n v="1472"/>
    <x v="5"/>
    <x v="2"/>
    <x v="2"/>
    <n v="11"/>
    <n v="3800"/>
    <n v="41800"/>
  </r>
  <r>
    <x v="11"/>
    <n v="1473"/>
    <x v="1"/>
    <x v="0"/>
    <x v="2"/>
    <n v="20"/>
    <n v="6000"/>
    <n v="120000"/>
  </r>
  <r>
    <x v="11"/>
    <n v="1474"/>
    <x v="7"/>
    <x v="0"/>
    <x v="2"/>
    <n v="1"/>
    <n v="1600"/>
    <n v="1600"/>
  </r>
  <r>
    <x v="24"/>
    <n v="1475"/>
    <x v="3"/>
    <x v="0"/>
    <x v="1"/>
    <n v="13"/>
    <n v="900"/>
    <n v="11700"/>
  </r>
  <r>
    <x v="23"/>
    <n v="1476"/>
    <x v="5"/>
    <x v="2"/>
    <x v="0"/>
    <n v="11"/>
    <n v="800"/>
    <n v="8800"/>
  </r>
  <r>
    <x v="2"/>
    <n v="1477"/>
    <x v="0"/>
    <x v="1"/>
    <x v="3"/>
    <n v="7"/>
    <n v="1600"/>
    <n v="11200"/>
  </r>
  <r>
    <x v="12"/>
    <n v="1478"/>
    <x v="1"/>
    <x v="1"/>
    <x v="2"/>
    <n v="5"/>
    <n v="4300"/>
    <n v="21500"/>
  </r>
  <r>
    <x v="21"/>
    <n v="1479"/>
    <x v="7"/>
    <x v="1"/>
    <x v="2"/>
    <n v="20"/>
    <n v="600"/>
    <n v="12000"/>
  </r>
  <r>
    <x v="16"/>
    <n v="1480"/>
    <x v="6"/>
    <x v="2"/>
    <x v="3"/>
    <n v="1"/>
    <n v="3700"/>
    <n v="3700"/>
  </r>
  <r>
    <x v="18"/>
    <n v="1481"/>
    <x v="0"/>
    <x v="2"/>
    <x v="0"/>
    <n v="3"/>
    <n v="2500"/>
    <n v="7500"/>
  </r>
  <r>
    <x v="21"/>
    <n v="1482"/>
    <x v="2"/>
    <x v="1"/>
    <x v="2"/>
    <n v="11"/>
    <n v="4700"/>
    <n v="51700"/>
  </r>
  <r>
    <x v="12"/>
    <n v="1483"/>
    <x v="1"/>
    <x v="1"/>
    <x v="1"/>
    <n v="8"/>
    <n v="700"/>
    <n v="5600"/>
  </r>
  <r>
    <x v="25"/>
    <n v="1484"/>
    <x v="3"/>
    <x v="0"/>
    <x v="0"/>
    <n v="3"/>
    <n v="5700"/>
    <n v="17100"/>
  </r>
  <r>
    <x v="24"/>
    <n v="1485"/>
    <x v="5"/>
    <x v="0"/>
    <x v="4"/>
    <n v="14"/>
    <n v="5900"/>
    <n v="82600"/>
  </r>
  <r>
    <x v="15"/>
    <n v="1486"/>
    <x v="0"/>
    <x v="2"/>
    <x v="4"/>
    <n v="14"/>
    <n v="2400"/>
    <n v="33600"/>
  </r>
  <r>
    <x v="11"/>
    <n v="1487"/>
    <x v="3"/>
    <x v="0"/>
    <x v="3"/>
    <n v="1"/>
    <n v="3400"/>
    <n v="3400"/>
  </r>
  <r>
    <x v="3"/>
    <n v="1488"/>
    <x v="7"/>
    <x v="0"/>
    <x v="0"/>
    <n v="16"/>
    <n v="6000"/>
    <n v="96000"/>
  </r>
  <r>
    <x v="22"/>
    <n v="1489"/>
    <x v="1"/>
    <x v="2"/>
    <x v="3"/>
    <n v="2"/>
    <n v="3900"/>
    <n v="7800"/>
  </r>
  <r>
    <x v="11"/>
    <n v="1490"/>
    <x v="6"/>
    <x v="2"/>
    <x v="4"/>
    <n v="18"/>
    <n v="2000"/>
    <n v="36000"/>
  </r>
  <r>
    <x v="18"/>
    <n v="1491"/>
    <x v="7"/>
    <x v="1"/>
    <x v="0"/>
    <n v="7"/>
    <n v="4100"/>
    <n v="28700"/>
  </r>
  <r>
    <x v="5"/>
    <n v="1492"/>
    <x v="3"/>
    <x v="0"/>
    <x v="2"/>
    <n v="4"/>
    <n v="900"/>
    <n v="3600"/>
  </r>
  <r>
    <x v="26"/>
    <n v="1493"/>
    <x v="2"/>
    <x v="1"/>
    <x v="4"/>
    <n v="20"/>
    <n v="2000"/>
    <n v="40000"/>
  </r>
  <r>
    <x v="3"/>
    <n v="1494"/>
    <x v="4"/>
    <x v="0"/>
    <x v="3"/>
    <n v="6"/>
    <n v="900"/>
    <n v="5400"/>
  </r>
  <r>
    <x v="7"/>
    <n v="1495"/>
    <x v="1"/>
    <x v="2"/>
    <x v="2"/>
    <n v="18"/>
    <n v="4400"/>
    <n v="79200"/>
  </r>
  <r>
    <x v="13"/>
    <n v="1496"/>
    <x v="6"/>
    <x v="1"/>
    <x v="4"/>
    <n v="12"/>
    <n v="1700"/>
    <n v="20400"/>
  </r>
  <r>
    <x v="10"/>
    <n v="1497"/>
    <x v="3"/>
    <x v="1"/>
    <x v="1"/>
    <n v="17"/>
    <n v="2800"/>
    <n v="47600"/>
  </r>
  <r>
    <x v="5"/>
    <n v="1498"/>
    <x v="4"/>
    <x v="2"/>
    <x v="4"/>
    <n v="13"/>
    <n v="5500"/>
    <n v="71500"/>
  </r>
  <r>
    <x v="16"/>
    <n v="1499"/>
    <x v="6"/>
    <x v="1"/>
    <x v="0"/>
    <n v="9"/>
    <n v="6200"/>
    <n v="55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04DC4-17FF-476E-B0BF-9852B2CB21F2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 fieldListSortAscending="1">
  <location ref="A3:B12" firstHeaderRow="1" firstDataRow="1" firstDataCol="1"/>
  <pivotFields count="8">
    <pivotField numFmtId="14" showAll="0"/>
    <pivotField showAll="0"/>
    <pivotField axis="axisRow" showAll="0" sortType="ascending">
      <items count="9">
        <item x="6"/>
        <item x="5"/>
        <item x="1"/>
        <item x="0"/>
        <item x="3"/>
        <item x="2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2"/>
  </rowFields>
  <rowItems count="9">
    <i>
      <x v="3"/>
    </i>
    <i>
      <x v="7"/>
    </i>
    <i>
      <x v="4"/>
    </i>
    <i>
      <x/>
    </i>
    <i>
      <x v="6"/>
    </i>
    <i>
      <x v="1"/>
    </i>
    <i>
      <x v="2"/>
    </i>
    <i>
      <x v="5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854DD-4617-4851-B102-1603D530BD58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2">
  <location ref="A3:B12" firstHeaderRow="1" firstDataRow="1" firstDataCol="1"/>
  <pivotFields count="8">
    <pivotField numFmtId="14" showAll="0"/>
    <pivotField showAll="0"/>
    <pivotField axis="axisRow" showAll="0" sortType="ascending">
      <items count="9">
        <item x="7"/>
        <item x="4"/>
        <item x="2"/>
        <item x="3"/>
        <item x="0"/>
        <item x="1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2"/>
  </rowFields>
  <rowItems count="9">
    <i>
      <x v="4"/>
    </i>
    <i>
      <x/>
    </i>
    <i>
      <x v="7"/>
    </i>
    <i>
      <x v="3"/>
    </i>
    <i>
      <x v="1"/>
    </i>
    <i>
      <x v="6"/>
    </i>
    <i>
      <x v="5"/>
    </i>
    <i>
      <x v="2"/>
    </i>
    <i t="grand">
      <x/>
    </i>
  </rowItems>
  <colItems count="1">
    <i/>
  </colItems>
  <dataFields count="1">
    <dataField name="Sum of Quantity" fld="5" baseField="0" baseItem="0"/>
  </dataFields>
  <chartFormats count="1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9B18A-D971-47AB-AF48-9EE7E8FD05D7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9" firstHeaderRow="1" firstDataRow="1" firstDataCol="1"/>
  <pivotFields count="8">
    <pivotField numFmtId="14" showAll="0"/>
    <pivotField showAll="0"/>
    <pivotField showAll="0"/>
    <pivotField showAll="0"/>
    <pivotField axis="axisRow" showAll="0" sortType="descending">
      <items count="6">
        <item x="4"/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4"/>
  </rowFields>
  <rowItems count="6">
    <i>
      <x v="3"/>
    </i>
    <i>
      <x v="2"/>
    </i>
    <i>
      <x/>
    </i>
    <i>
      <x v="4"/>
    </i>
    <i>
      <x v="1"/>
    </i>
    <i t="grand">
      <x/>
    </i>
  </rowItems>
  <colItems count="1">
    <i/>
  </colItems>
  <dataFields count="1">
    <dataField name="Sum of Total_Sales" fld="7" baseField="0" baseItem="0"/>
  </dataFields>
  <chartFormats count="6"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B4B2E-F40B-4235-9BB0-73410AAB74E7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1">
  <location ref="A3:B32" firstHeaderRow="1" firstDataRow="1" firstDataCol="1"/>
  <pivotFields count="8">
    <pivotField axis="axisRow" numFmtId="14" showAll="0">
      <items count="29">
        <item x="15"/>
        <item x="25"/>
        <item x="11"/>
        <item x="9"/>
        <item x="17"/>
        <item x="19"/>
        <item x="2"/>
        <item x="1"/>
        <item x="14"/>
        <item x="8"/>
        <item x="12"/>
        <item x="0"/>
        <item x="21"/>
        <item x="22"/>
        <item x="4"/>
        <item x="16"/>
        <item x="27"/>
        <item x="3"/>
        <item x="20"/>
        <item x="5"/>
        <item x="23"/>
        <item x="26"/>
        <item x="24"/>
        <item x="6"/>
        <item x="7"/>
        <item x="10"/>
        <item x="13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FC18C-20FF-457F-B252-710CE8EDF8C6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7" firstHeaderRow="1" firstDataRow="1" firstDataCol="1"/>
  <pivotFields count="8">
    <pivotField numFmtId="14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7" baseField="0" baseItem="0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8B61-7C83-4CA3-9FD1-D50A58A5460B}">
  <dimension ref="A3:B12"/>
  <sheetViews>
    <sheetView workbookViewId="0">
      <selection activeCell="B4" sqref="B4"/>
    </sheetView>
  </sheetViews>
  <sheetFormatPr defaultRowHeight="14.5"/>
  <cols>
    <col min="1" max="1" width="12.36328125" bestFit="1" customWidth="1"/>
    <col min="2" max="2" width="16.6328125" bestFit="1" customWidth="1"/>
  </cols>
  <sheetData>
    <row r="3" spans="1:2">
      <c r="A3" s="5" t="s">
        <v>19</v>
      </c>
      <c r="B3" t="s">
        <v>24</v>
      </c>
    </row>
    <row r="4" spans="1:2">
      <c r="A4" s="6" t="s">
        <v>21</v>
      </c>
      <c r="B4" s="7">
        <v>2206400</v>
      </c>
    </row>
    <row r="5" spans="1:2">
      <c r="A5" s="6" t="s">
        <v>20</v>
      </c>
      <c r="B5" s="7">
        <v>2214700</v>
      </c>
    </row>
    <row r="6" spans="1:2">
      <c r="A6" s="6" t="s">
        <v>13</v>
      </c>
      <c r="B6" s="7">
        <v>2220800</v>
      </c>
    </row>
    <row r="7" spans="1:2">
      <c r="A7" s="6" t="s">
        <v>17</v>
      </c>
      <c r="B7" s="7">
        <v>2338000</v>
      </c>
    </row>
    <row r="8" spans="1:2">
      <c r="A8" s="6" t="s">
        <v>16</v>
      </c>
      <c r="B8" s="7">
        <v>2488600</v>
      </c>
    </row>
    <row r="9" spans="1:2">
      <c r="A9" s="6" t="s">
        <v>22</v>
      </c>
      <c r="B9" s="7">
        <v>2510700</v>
      </c>
    </row>
    <row r="10" spans="1:2">
      <c r="A10" s="6" t="s">
        <v>8</v>
      </c>
      <c r="B10" s="7">
        <v>2862700</v>
      </c>
    </row>
    <row r="11" spans="1:2">
      <c r="A11" s="6" t="s">
        <v>11</v>
      </c>
      <c r="B11" s="7">
        <v>3149800</v>
      </c>
    </row>
    <row r="12" spans="1:2">
      <c r="A12" s="6" t="s">
        <v>23</v>
      </c>
      <c r="B12" s="7">
        <v>19991700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0505-AFF1-4174-B4DB-E0966C519C47}">
  <dimension ref="A3:B12"/>
  <sheetViews>
    <sheetView workbookViewId="0">
      <selection activeCell="B10" sqref="B10"/>
    </sheetView>
  </sheetViews>
  <sheetFormatPr defaultRowHeight="14.5"/>
  <cols>
    <col min="1" max="1" width="12.36328125" bestFit="1" customWidth="1"/>
    <col min="2" max="2" width="14.54296875" bestFit="1" customWidth="1"/>
  </cols>
  <sheetData>
    <row r="3" spans="1:2">
      <c r="A3" s="5" t="s">
        <v>19</v>
      </c>
      <c r="B3" t="s">
        <v>25</v>
      </c>
    </row>
    <row r="4" spans="1:2">
      <c r="A4" s="6" t="s">
        <v>21</v>
      </c>
      <c r="B4" s="7">
        <v>520</v>
      </c>
    </row>
    <row r="5" spans="1:2">
      <c r="A5" s="6" t="s">
        <v>20</v>
      </c>
      <c r="B5" s="7">
        <v>540</v>
      </c>
    </row>
    <row r="6" spans="1:2">
      <c r="A6" s="6" t="s">
        <v>17</v>
      </c>
      <c r="B6" s="7">
        <v>555</v>
      </c>
    </row>
    <row r="7" spans="1:2">
      <c r="A7" s="6" t="s">
        <v>13</v>
      </c>
      <c r="B7" s="7">
        <v>638</v>
      </c>
    </row>
    <row r="8" spans="1:2">
      <c r="A8" s="6" t="s">
        <v>16</v>
      </c>
      <c r="B8" s="7">
        <v>651</v>
      </c>
    </row>
    <row r="9" spans="1:2">
      <c r="A9" s="6" t="s">
        <v>22</v>
      </c>
      <c r="B9" s="7">
        <v>658</v>
      </c>
    </row>
    <row r="10" spans="1:2">
      <c r="A10" s="6" t="s">
        <v>8</v>
      </c>
      <c r="B10" s="7">
        <v>778</v>
      </c>
    </row>
    <row r="11" spans="1:2">
      <c r="A11" s="6" t="s">
        <v>11</v>
      </c>
      <c r="B11" s="7">
        <v>823</v>
      </c>
    </row>
    <row r="12" spans="1:2">
      <c r="A12" s="6" t="s">
        <v>23</v>
      </c>
      <c r="B12" s="7">
        <v>5163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E750D-E15E-4F6F-8A34-3DF175FBA6B2}">
  <dimension ref="A3:B9"/>
  <sheetViews>
    <sheetView workbookViewId="0">
      <selection activeCell="B4" sqref="B4"/>
    </sheetView>
  </sheetViews>
  <sheetFormatPr defaultRowHeight="14.5"/>
  <cols>
    <col min="1" max="1" width="12.36328125" bestFit="1" customWidth="1"/>
    <col min="2" max="2" width="16.6328125" bestFit="1" customWidth="1"/>
  </cols>
  <sheetData>
    <row r="3" spans="1:2">
      <c r="A3" s="5" t="s">
        <v>19</v>
      </c>
      <c r="B3" t="s">
        <v>24</v>
      </c>
    </row>
    <row r="4" spans="1:2">
      <c r="A4" s="6" t="s">
        <v>10</v>
      </c>
      <c r="B4" s="7">
        <v>4407000</v>
      </c>
    </row>
    <row r="5" spans="1:2">
      <c r="A5" s="6" t="s">
        <v>26</v>
      </c>
      <c r="B5" s="7">
        <v>4218700</v>
      </c>
    </row>
    <row r="6" spans="1:2">
      <c r="A6" s="6" t="s">
        <v>12</v>
      </c>
      <c r="B6" s="7">
        <v>4173700</v>
      </c>
    </row>
    <row r="7" spans="1:2">
      <c r="A7" s="6" t="s">
        <v>15</v>
      </c>
      <c r="B7" s="7">
        <v>3643700</v>
      </c>
    </row>
    <row r="8" spans="1:2">
      <c r="A8" s="6" t="s">
        <v>18</v>
      </c>
      <c r="B8" s="7">
        <v>3548600</v>
      </c>
    </row>
    <row r="9" spans="1:2">
      <c r="A9" s="6" t="s">
        <v>23</v>
      </c>
      <c r="B9" s="7">
        <v>19991700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6596-261E-40DB-9B1E-D88EE9B80D48}">
  <dimension ref="A3:B32"/>
  <sheetViews>
    <sheetView workbookViewId="0">
      <selection activeCell="A3" sqref="A3"/>
    </sheetView>
  </sheetViews>
  <sheetFormatPr defaultRowHeight="14.5"/>
  <cols>
    <col min="1" max="1" width="12.36328125" bestFit="1" customWidth="1"/>
    <col min="2" max="2" width="16.6328125" bestFit="1" customWidth="1"/>
  </cols>
  <sheetData>
    <row r="3" spans="1:2">
      <c r="A3" s="5" t="s">
        <v>19</v>
      </c>
      <c r="B3" t="s">
        <v>24</v>
      </c>
    </row>
    <row r="4" spans="1:2">
      <c r="A4" s="8">
        <v>45658</v>
      </c>
      <c r="B4" s="7">
        <v>701000</v>
      </c>
    </row>
    <row r="5" spans="1:2">
      <c r="A5" s="8">
        <v>45659</v>
      </c>
      <c r="B5" s="7">
        <v>666500</v>
      </c>
    </row>
    <row r="6" spans="1:2">
      <c r="A6" s="8">
        <v>45660</v>
      </c>
      <c r="B6" s="7">
        <v>753300</v>
      </c>
    </row>
    <row r="7" spans="1:2">
      <c r="A7" s="8">
        <v>45661</v>
      </c>
      <c r="B7" s="7">
        <v>625400</v>
      </c>
    </row>
    <row r="8" spans="1:2">
      <c r="A8" s="8">
        <v>45662</v>
      </c>
      <c r="B8" s="7">
        <v>499700</v>
      </c>
    </row>
    <row r="9" spans="1:2">
      <c r="A9" s="8">
        <v>45663</v>
      </c>
      <c r="B9" s="7">
        <v>825000</v>
      </c>
    </row>
    <row r="10" spans="1:2">
      <c r="A10" s="8">
        <v>45664</v>
      </c>
      <c r="B10" s="7">
        <v>392300</v>
      </c>
    </row>
    <row r="11" spans="1:2">
      <c r="A11" s="8">
        <v>45665</v>
      </c>
      <c r="B11" s="7">
        <v>783700</v>
      </c>
    </row>
    <row r="12" spans="1:2">
      <c r="A12" s="8">
        <v>45666</v>
      </c>
      <c r="B12" s="7">
        <v>1083500</v>
      </c>
    </row>
    <row r="13" spans="1:2">
      <c r="A13" s="8">
        <v>45667</v>
      </c>
      <c r="B13" s="7">
        <v>424200</v>
      </c>
    </row>
    <row r="14" spans="1:2">
      <c r="A14" s="8">
        <v>45668</v>
      </c>
      <c r="B14" s="7">
        <v>738100</v>
      </c>
    </row>
    <row r="15" spans="1:2">
      <c r="A15" s="8">
        <v>45669</v>
      </c>
      <c r="B15" s="7">
        <v>643100</v>
      </c>
    </row>
    <row r="16" spans="1:2">
      <c r="A16" s="8">
        <v>45670</v>
      </c>
      <c r="B16" s="7">
        <v>1005700</v>
      </c>
    </row>
    <row r="17" spans="1:2">
      <c r="A17" s="8">
        <v>45671</v>
      </c>
      <c r="B17" s="7">
        <v>694200</v>
      </c>
    </row>
    <row r="18" spans="1:2">
      <c r="A18" s="8">
        <v>45672</v>
      </c>
      <c r="B18" s="7">
        <v>956400</v>
      </c>
    </row>
    <row r="19" spans="1:2">
      <c r="A19" s="8">
        <v>45673</v>
      </c>
      <c r="B19" s="7">
        <v>565400</v>
      </c>
    </row>
    <row r="20" spans="1:2">
      <c r="A20" s="8">
        <v>45674</v>
      </c>
      <c r="B20" s="7">
        <v>223200</v>
      </c>
    </row>
    <row r="21" spans="1:2">
      <c r="A21" s="8">
        <v>45675</v>
      </c>
      <c r="B21" s="7">
        <v>586900</v>
      </c>
    </row>
    <row r="22" spans="1:2">
      <c r="A22" s="8">
        <v>45676</v>
      </c>
      <c r="B22" s="7">
        <v>582100</v>
      </c>
    </row>
    <row r="23" spans="1:2">
      <c r="A23" s="8">
        <v>45677</v>
      </c>
      <c r="B23" s="7">
        <v>948100</v>
      </c>
    </row>
    <row r="24" spans="1:2">
      <c r="A24" s="8">
        <v>45678</v>
      </c>
      <c r="B24" s="7">
        <v>942400</v>
      </c>
    </row>
    <row r="25" spans="1:2">
      <c r="A25" s="8">
        <v>45679</v>
      </c>
      <c r="B25" s="7">
        <v>814300</v>
      </c>
    </row>
    <row r="26" spans="1:2">
      <c r="A26" s="8">
        <v>45680</v>
      </c>
      <c r="B26" s="7">
        <v>702400</v>
      </c>
    </row>
    <row r="27" spans="1:2">
      <c r="A27" s="8">
        <v>45681</v>
      </c>
      <c r="B27" s="7">
        <v>661000</v>
      </c>
    </row>
    <row r="28" spans="1:2">
      <c r="A28" s="8">
        <v>45682</v>
      </c>
      <c r="B28" s="7">
        <v>948200</v>
      </c>
    </row>
    <row r="29" spans="1:2">
      <c r="A29" s="8">
        <v>45683</v>
      </c>
      <c r="B29" s="7">
        <v>881000</v>
      </c>
    </row>
    <row r="30" spans="1:2">
      <c r="A30" s="8">
        <v>45684</v>
      </c>
      <c r="B30" s="7">
        <v>684100</v>
      </c>
    </row>
    <row r="31" spans="1:2">
      <c r="A31" s="8">
        <v>45685</v>
      </c>
      <c r="B31" s="7">
        <v>660500</v>
      </c>
    </row>
    <row r="32" spans="1:2">
      <c r="A32" s="8" t="s">
        <v>23</v>
      </c>
      <c r="B32" s="7">
        <v>19991700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31B01-43B5-464F-94BB-E68F4C726D89}">
  <dimension ref="A3:B7"/>
  <sheetViews>
    <sheetView workbookViewId="0">
      <selection activeCell="B6" sqref="B6"/>
    </sheetView>
  </sheetViews>
  <sheetFormatPr defaultRowHeight="14.5"/>
  <cols>
    <col min="1" max="1" width="12.36328125" bestFit="1" customWidth="1"/>
    <col min="2" max="2" width="16.6328125" bestFit="1" customWidth="1"/>
  </cols>
  <sheetData>
    <row r="3" spans="1:2">
      <c r="A3" s="5" t="s">
        <v>19</v>
      </c>
      <c r="B3" t="s">
        <v>24</v>
      </c>
    </row>
    <row r="4" spans="1:2">
      <c r="A4" s="6" t="s">
        <v>14</v>
      </c>
      <c r="B4" s="7">
        <v>6753000</v>
      </c>
    </row>
    <row r="5" spans="1:2">
      <c r="A5" s="6" t="s">
        <v>9</v>
      </c>
      <c r="B5" s="7">
        <v>7465200</v>
      </c>
    </row>
    <row r="6" spans="1:2">
      <c r="A6" s="6" t="s">
        <v>27</v>
      </c>
      <c r="B6" s="7">
        <v>5773500</v>
      </c>
    </row>
    <row r="7" spans="1:2">
      <c r="A7" s="6" t="s">
        <v>23</v>
      </c>
      <c r="B7" s="7">
        <v>19991700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4015-0D97-4ECC-8F31-0EA21934351D}">
  <dimension ref="A1:H500"/>
  <sheetViews>
    <sheetView workbookViewId="0">
      <selection activeCell="B16" sqref="B16"/>
    </sheetView>
  </sheetViews>
  <sheetFormatPr defaultRowHeight="14.5"/>
  <cols>
    <col min="1" max="1" width="13" customWidth="1"/>
    <col min="3" max="3" width="10.90625" customWidth="1"/>
    <col min="5" max="5" width="13.08984375" customWidth="1"/>
  </cols>
  <sheetData>
    <row r="1" spans="1:8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f ca="1">DATE(2025,1,RANDBETWEEN(1,28))</f>
        <v>45685</v>
      </c>
      <c r="B2" s="3">
        <v>1001</v>
      </c>
      <c r="C2" s="4" t="str">
        <f ca="1">CHOOSE(RANDBETWEEN(1,8),"Rice","Beans","Cooking Oil","Milk","Bread","Sugar","Noodles","Soft Drink")</f>
        <v>Bread</v>
      </c>
      <c r="D2" s="4" t="str">
        <f ca="1">CHOOSE(RANDBETWEEN(1,3),"Food","Beverage","Household")</f>
        <v>Food</v>
      </c>
      <c r="E2" t="str">
        <f ca="1">CHOOSE(RANDBETWEEN(1,5),"Lagos","Abuja","Port Harcourt","Ibadan","Kano")</f>
        <v>Lagos</v>
      </c>
      <c r="F2">
        <f ca="1">RANDBETWEEN(1,20)</f>
        <v>2</v>
      </c>
      <c r="G2">
        <f ca="1">ROUND(RANDBETWEEN(500,7000)/100,0)*100</f>
        <v>2300</v>
      </c>
      <c r="H2">
        <f ca="1">F2*G2</f>
        <v>4600</v>
      </c>
    </row>
    <row r="3" spans="1:8">
      <c r="A3" s="2">
        <f t="shared" ref="A3:A66" ca="1" si="0">DATE(2025,1,RANDBETWEEN(1,28))</f>
        <v>45678</v>
      </c>
      <c r="B3" s="3">
        <f>B2+1</f>
        <v>1002</v>
      </c>
      <c r="C3" s="4" t="str">
        <f t="shared" ref="C3:C66" ca="1" si="1">CHOOSE(RANDBETWEEN(1,8),"Rice","Beans","Cooking Oil","Milk","Bread","Sugar","Noodles","Soft Drink")</f>
        <v>Bread</v>
      </c>
      <c r="D3" s="4" t="str">
        <f t="shared" ref="D3:D66" ca="1" si="2">CHOOSE(RANDBETWEEN(1,3),"Food","Beverage","Household")</f>
        <v>Food</v>
      </c>
      <c r="E3" t="str">
        <f t="shared" ref="E3:E66" ca="1" si="3">CHOOSE(RANDBETWEEN(1,5),"Lagos","Abuja","Port Harcourt","Ibadan","Kano")</f>
        <v>Port Harcourt</v>
      </c>
      <c r="F3">
        <f t="shared" ref="F3:F66" ca="1" si="4">RANDBETWEEN(1,20)</f>
        <v>11</v>
      </c>
      <c r="G3">
        <f t="shared" ref="G3:G66" ca="1" si="5">ROUND(RANDBETWEEN(500,7000)/100,0)*100</f>
        <v>4500</v>
      </c>
      <c r="H3">
        <f t="shared" ref="H3:H66" ca="1" si="6">F3*G3</f>
        <v>49500</v>
      </c>
    </row>
    <row r="4" spans="1:8">
      <c r="A4" s="2">
        <f t="shared" ca="1" si="0"/>
        <v>45676</v>
      </c>
      <c r="B4" s="3">
        <f t="shared" ref="B4:B67" si="7">B3+1</f>
        <v>1003</v>
      </c>
      <c r="C4" s="4" t="str">
        <f t="shared" ca="1" si="1"/>
        <v>Rice</v>
      </c>
      <c r="D4" s="4" t="str">
        <f t="shared" ca="1" si="2"/>
        <v>Household</v>
      </c>
      <c r="E4" t="str">
        <f t="shared" ca="1" si="3"/>
        <v>Port Harcourt</v>
      </c>
      <c r="F4">
        <f t="shared" ca="1" si="4"/>
        <v>13</v>
      </c>
      <c r="G4">
        <f t="shared" ca="1" si="5"/>
        <v>5500</v>
      </c>
      <c r="H4">
        <f t="shared" ca="1" si="6"/>
        <v>71500</v>
      </c>
    </row>
    <row r="5" spans="1:8">
      <c r="A5" s="2">
        <f t="shared" ca="1" si="0"/>
        <v>45680</v>
      </c>
      <c r="B5" s="3">
        <f t="shared" si="7"/>
        <v>1004</v>
      </c>
      <c r="C5" s="4" t="str">
        <f t="shared" ca="1" si="1"/>
        <v>Noodles</v>
      </c>
      <c r="D5" s="4" t="str">
        <f t="shared" ca="1" si="2"/>
        <v>Household</v>
      </c>
      <c r="E5" t="str">
        <f t="shared" ca="1" si="3"/>
        <v>Ibadan</v>
      </c>
      <c r="F5">
        <f t="shared" ca="1" si="4"/>
        <v>1</v>
      </c>
      <c r="G5">
        <f t="shared" ca="1" si="5"/>
        <v>1900</v>
      </c>
      <c r="H5">
        <f t="shared" ca="1" si="6"/>
        <v>1900</v>
      </c>
    </row>
    <row r="6" spans="1:8">
      <c r="A6" s="2">
        <f t="shared" ca="1" si="0"/>
        <v>45682</v>
      </c>
      <c r="B6" s="3">
        <f t="shared" si="7"/>
        <v>1005</v>
      </c>
      <c r="C6" s="4" t="str">
        <f t="shared" ca="1" si="1"/>
        <v>Beans</v>
      </c>
      <c r="D6" s="4" t="str">
        <f t="shared" ca="1" si="2"/>
        <v>Household</v>
      </c>
      <c r="E6" t="str">
        <f t="shared" ca="1" si="3"/>
        <v>Ibadan</v>
      </c>
      <c r="F6">
        <f t="shared" ca="1" si="4"/>
        <v>12</v>
      </c>
      <c r="G6">
        <f t="shared" ca="1" si="5"/>
        <v>6000</v>
      </c>
      <c r="H6">
        <f t="shared" ca="1" si="6"/>
        <v>72000</v>
      </c>
    </row>
    <row r="7" spans="1:8">
      <c r="A7" s="2">
        <f t="shared" ca="1" si="0"/>
        <v>45682</v>
      </c>
      <c r="B7" s="3">
        <f t="shared" si="7"/>
        <v>1006</v>
      </c>
      <c r="C7" s="4" t="str">
        <f t="shared" ca="1" si="1"/>
        <v>Soft Drink</v>
      </c>
      <c r="D7" s="4" t="str">
        <f t="shared" ca="1" si="2"/>
        <v>Beverage</v>
      </c>
      <c r="E7" t="str">
        <f t="shared" ca="1" si="3"/>
        <v>Ibadan</v>
      </c>
      <c r="F7">
        <f t="shared" ca="1" si="4"/>
        <v>4</v>
      </c>
      <c r="G7">
        <f t="shared" ca="1" si="5"/>
        <v>1200</v>
      </c>
      <c r="H7">
        <f t="shared" ca="1" si="6"/>
        <v>4800</v>
      </c>
    </row>
    <row r="8" spans="1:8">
      <c r="A8" s="2">
        <f t="shared" ca="1" si="0"/>
        <v>45681</v>
      </c>
      <c r="B8" s="3">
        <f t="shared" si="7"/>
        <v>1007</v>
      </c>
      <c r="C8" s="4" t="str">
        <f t="shared" ca="1" si="1"/>
        <v>Rice</v>
      </c>
      <c r="D8" s="4" t="str">
        <f t="shared" ca="1" si="2"/>
        <v>Household</v>
      </c>
      <c r="E8" t="str">
        <f t="shared" ca="1" si="3"/>
        <v>Lagos</v>
      </c>
      <c r="F8">
        <f t="shared" ca="1" si="4"/>
        <v>3</v>
      </c>
      <c r="G8">
        <f t="shared" ca="1" si="5"/>
        <v>1900</v>
      </c>
      <c r="H8">
        <f t="shared" ca="1" si="6"/>
        <v>5700</v>
      </c>
    </row>
    <row r="9" spans="1:8">
      <c r="A9" s="2">
        <f t="shared" ca="1" si="0"/>
        <v>45671</v>
      </c>
      <c r="B9" s="3">
        <f t="shared" si="7"/>
        <v>1008</v>
      </c>
      <c r="C9" s="4" t="str">
        <f t="shared" ca="1" si="1"/>
        <v>Sugar</v>
      </c>
      <c r="D9" s="4" t="str">
        <f t="shared" ca="1" si="2"/>
        <v>Household</v>
      </c>
      <c r="E9" t="str">
        <f t="shared" ca="1" si="3"/>
        <v>Lagos</v>
      </c>
      <c r="F9">
        <f t="shared" ca="1" si="4"/>
        <v>17</v>
      </c>
      <c r="G9">
        <f t="shared" ca="1" si="5"/>
        <v>1300</v>
      </c>
      <c r="H9">
        <f t="shared" ca="1" si="6"/>
        <v>22100</v>
      </c>
    </row>
    <row r="10" spans="1:8">
      <c r="A10" s="2">
        <f t="shared" ca="1" si="0"/>
        <v>45670</v>
      </c>
      <c r="B10" s="3">
        <f t="shared" si="7"/>
        <v>1009</v>
      </c>
      <c r="C10" s="4" t="str">
        <f t="shared" ca="1" si="1"/>
        <v>Milk</v>
      </c>
      <c r="D10" s="4" t="str">
        <f ca="1">CHOOSE(RANDBETWEEN(1,2),"Food","Beverage")</f>
        <v>Beverage</v>
      </c>
      <c r="E10" t="str">
        <f t="shared" ca="1" si="3"/>
        <v>Kano</v>
      </c>
      <c r="F10">
        <f t="shared" ca="1" si="4"/>
        <v>2</v>
      </c>
      <c r="G10">
        <f t="shared" ca="1" si="5"/>
        <v>4900</v>
      </c>
      <c r="H10">
        <f t="shared" ca="1" si="6"/>
        <v>9800</v>
      </c>
    </row>
    <row r="11" spans="1:8">
      <c r="A11" s="2">
        <f t="shared" ca="1" si="0"/>
        <v>45661</v>
      </c>
      <c r="B11" s="3">
        <f t="shared" si="7"/>
        <v>1010</v>
      </c>
      <c r="C11" s="4" t="str">
        <f t="shared" ca="1" si="1"/>
        <v>Sugar</v>
      </c>
      <c r="D11" s="4" t="str">
        <f ca="1">CHOOSE(RANDBETWEEN(1,3),"Food","Beverage","Household")</f>
        <v>Household</v>
      </c>
      <c r="E11" t="str">
        <f t="shared" ca="1" si="3"/>
        <v>Port Harcourt</v>
      </c>
      <c r="F11">
        <f t="shared" ca="1" si="4"/>
        <v>15</v>
      </c>
      <c r="G11">
        <f t="shared" ca="1" si="5"/>
        <v>3200</v>
      </c>
      <c r="H11">
        <f t="shared" ca="1" si="6"/>
        <v>48000</v>
      </c>
    </row>
    <row r="12" spans="1:8">
      <c r="A12" s="2">
        <f t="shared" ca="1" si="0"/>
        <v>45678</v>
      </c>
      <c r="B12" s="3">
        <f t="shared" si="7"/>
        <v>1011</v>
      </c>
      <c r="C12" s="4" t="str">
        <f t="shared" ca="1" si="1"/>
        <v>Rice</v>
      </c>
      <c r="D12" s="4" t="str">
        <f t="shared" ca="1" si="2"/>
        <v>Beverage</v>
      </c>
      <c r="E12" t="str">
        <f t="shared" ca="1" si="3"/>
        <v>Kano</v>
      </c>
      <c r="F12">
        <f t="shared" ca="1" si="4"/>
        <v>10</v>
      </c>
      <c r="G12">
        <f t="shared" ca="1" si="5"/>
        <v>2000</v>
      </c>
      <c r="H12">
        <f t="shared" ca="1" si="6"/>
        <v>20000</v>
      </c>
    </row>
    <row r="13" spans="1:8">
      <c r="A13" s="2">
        <f t="shared" ca="1" si="0"/>
        <v>45668</v>
      </c>
      <c r="B13" s="3">
        <f t="shared" si="7"/>
        <v>1012</v>
      </c>
      <c r="C13" s="4" t="str">
        <f t="shared" ca="1" si="1"/>
        <v>Beans</v>
      </c>
      <c r="D13" s="4" t="str">
        <f t="shared" ca="1" si="2"/>
        <v>Food</v>
      </c>
      <c r="E13" t="str">
        <f t="shared" ca="1" si="3"/>
        <v>Abuja</v>
      </c>
      <c r="F13">
        <f t="shared" ca="1" si="4"/>
        <v>15</v>
      </c>
      <c r="G13">
        <f t="shared" ca="1" si="5"/>
        <v>2200</v>
      </c>
      <c r="H13">
        <f t="shared" ca="1" si="6"/>
        <v>33000</v>
      </c>
    </row>
    <row r="14" spans="1:8">
      <c r="A14" s="2">
        <f t="shared" ca="1" si="0"/>
        <v>45673</v>
      </c>
      <c r="B14" s="3">
        <f t="shared" si="7"/>
        <v>1013</v>
      </c>
      <c r="C14" s="4" t="str">
        <f t="shared" ca="1" si="1"/>
        <v>Bread</v>
      </c>
      <c r="D14" s="4" t="str">
        <f t="shared" ca="1" si="2"/>
        <v>Beverage</v>
      </c>
      <c r="E14" t="str">
        <f t="shared" ca="1" si="3"/>
        <v>Ibadan</v>
      </c>
      <c r="F14">
        <f t="shared" ca="1" si="4"/>
        <v>2</v>
      </c>
      <c r="G14">
        <f t="shared" ca="1" si="5"/>
        <v>4000</v>
      </c>
      <c r="H14">
        <f t="shared" ca="1" si="6"/>
        <v>8000</v>
      </c>
    </row>
    <row r="15" spans="1:8">
      <c r="A15" s="2">
        <f t="shared" ca="1" si="0"/>
        <v>45671</v>
      </c>
      <c r="B15" s="3">
        <f t="shared" si="7"/>
        <v>1014</v>
      </c>
      <c r="C15" s="4" t="str">
        <f t="shared" ca="1" si="1"/>
        <v>Beans</v>
      </c>
      <c r="D15" s="4" t="str">
        <f t="shared" ca="1" si="2"/>
        <v>Beverage</v>
      </c>
      <c r="E15" t="str">
        <f t="shared" ca="1" si="3"/>
        <v>Port Harcourt</v>
      </c>
      <c r="F15">
        <f t="shared" ca="1" si="4"/>
        <v>7</v>
      </c>
      <c r="G15">
        <f t="shared" ca="1" si="5"/>
        <v>5400</v>
      </c>
      <c r="H15">
        <f t="shared" ca="1" si="6"/>
        <v>37800</v>
      </c>
    </row>
    <row r="16" spans="1:8">
      <c r="A16" s="2">
        <f t="shared" ca="1" si="0"/>
        <v>45658</v>
      </c>
      <c r="B16" s="3">
        <f t="shared" si="7"/>
        <v>1015</v>
      </c>
      <c r="C16" s="4" t="str">
        <f t="shared" ca="1" si="1"/>
        <v>Noodles</v>
      </c>
      <c r="D16" s="4" t="str">
        <f t="shared" ca="1" si="2"/>
        <v>Household</v>
      </c>
      <c r="E16" t="str">
        <f t="shared" ca="1" si="3"/>
        <v>Port Harcourt</v>
      </c>
      <c r="F16">
        <f t="shared" ca="1" si="4"/>
        <v>17</v>
      </c>
      <c r="G16">
        <f t="shared" ca="1" si="5"/>
        <v>5800</v>
      </c>
      <c r="H16">
        <f t="shared" ca="1" si="6"/>
        <v>98600</v>
      </c>
    </row>
    <row r="17" spans="1:8">
      <c r="A17" s="2">
        <f t="shared" ca="1" si="0"/>
        <v>45677</v>
      </c>
      <c r="B17" s="3">
        <f t="shared" si="7"/>
        <v>1016</v>
      </c>
      <c r="C17" s="4" t="str">
        <f t="shared" ca="1" si="1"/>
        <v>Milk</v>
      </c>
      <c r="D17" s="4" t="str">
        <f t="shared" ca="1" si="2"/>
        <v>Household</v>
      </c>
      <c r="E17" t="str">
        <f t="shared" ca="1" si="3"/>
        <v>Kano</v>
      </c>
      <c r="F17">
        <f t="shared" ca="1" si="4"/>
        <v>11</v>
      </c>
      <c r="G17">
        <f t="shared" ca="1" si="5"/>
        <v>5900</v>
      </c>
      <c r="H17">
        <f t="shared" ca="1" si="6"/>
        <v>64900</v>
      </c>
    </row>
    <row r="18" spans="1:8">
      <c r="A18" s="2">
        <f t="shared" ca="1" si="0"/>
        <v>45676</v>
      </c>
      <c r="B18" s="3">
        <f t="shared" si="7"/>
        <v>1017</v>
      </c>
      <c r="C18" s="4" t="str">
        <f t="shared" ca="1" si="1"/>
        <v>Sugar</v>
      </c>
      <c r="D18" s="4" t="str">
        <f t="shared" ca="1" si="2"/>
        <v>Household</v>
      </c>
      <c r="E18" t="str">
        <f t="shared" ca="1" si="3"/>
        <v>Abuja</v>
      </c>
      <c r="F18">
        <f t="shared" ca="1" si="4"/>
        <v>3</v>
      </c>
      <c r="G18">
        <f t="shared" ca="1" si="5"/>
        <v>800</v>
      </c>
      <c r="H18">
        <f t="shared" ca="1" si="6"/>
        <v>2400</v>
      </c>
    </row>
    <row r="19" spans="1:8">
      <c r="A19" s="2">
        <f t="shared" ca="1" si="0"/>
        <v>45665</v>
      </c>
      <c r="B19" s="3">
        <f t="shared" si="7"/>
        <v>1018</v>
      </c>
      <c r="C19" s="4" t="str">
        <f t="shared" ca="1" si="1"/>
        <v>Rice</v>
      </c>
      <c r="D19" s="4" t="str">
        <f t="shared" ca="1" si="2"/>
        <v>Household</v>
      </c>
      <c r="E19" t="str">
        <f t="shared" ca="1" si="3"/>
        <v>Port Harcourt</v>
      </c>
      <c r="F19">
        <f t="shared" ca="1" si="4"/>
        <v>10</v>
      </c>
      <c r="G19">
        <f t="shared" ca="1" si="5"/>
        <v>3500</v>
      </c>
      <c r="H19">
        <f t="shared" ca="1" si="6"/>
        <v>35000</v>
      </c>
    </row>
    <row r="20" spans="1:8">
      <c r="A20" s="2">
        <f t="shared" ca="1" si="0"/>
        <v>45666</v>
      </c>
      <c r="B20" s="3">
        <f t="shared" si="7"/>
        <v>1019</v>
      </c>
      <c r="C20" s="4" t="str">
        <f t="shared" ca="1" si="1"/>
        <v>Milk</v>
      </c>
      <c r="D20" s="4" t="str">
        <f t="shared" ca="1" si="2"/>
        <v>Household</v>
      </c>
      <c r="E20" t="str">
        <f t="shared" ca="1" si="3"/>
        <v>Abuja</v>
      </c>
      <c r="F20">
        <f t="shared" ca="1" si="4"/>
        <v>13</v>
      </c>
      <c r="G20">
        <f t="shared" ca="1" si="5"/>
        <v>4100</v>
      </c>
      <c r="H20">
        <f t="shared" ca="1" si="6"/>
        <v>53300</v>
      </c>
    </row>
    <row r="21" spans="1:8">
      <c r="A21" s="2">
        <f t="shared" ca="1" si="0"/>
        <v>45681</v>
      </c>
      <c r="B21" s="3">
        <f t="shared" si="7"/>
        <v>1020</v>
      </c>
      <c r="C21" s="4" t="str">
        <f t="shared" ca="1" si="1"/>
        <v>Rice</v>
      </c>
      <c r="D21" s="4" t="str">
        <f t="shared" ca="1" si="2"/>
        <v>Food</v>
      </c>
      <c r="E21" t="str">
        <f t="shared" ca="1" si="3"/>
        <v>Kano</v>
      </c>
      <c r="F21">
        <f t="shared" ca="1" si="4"/>
        <v>14</v>
      </c>
      <c r="G21">
        <f t="shared" ca="1" si="5"/>
        <v>6900</v>
      </c>
      <c r="H21">
        <f t="shared" ca="1" si="6"/>
        <v>96600</v>
      </c>
    </row>
    <row r="22" spans="1:8">
      <c r="A22" s="2">
        <f t="shared" ca="1" si="0"/>
        <v>45674</v>
      </c>
      <c r="B22" s="3">
        <f t="shared" si="7"/>
        <v>1021</v>
      </c>
      <c r="C22" s="4" t="str">
        <f t="shared" ca="1" si="1"/>
        <v>Noodles</v>
      </c>
      <c r="D22" s="4" t="str">
        <f t="shared" ca="1" si="2"/>
        <v>Food</v>
      </c>
      <c r="E22" t="str">
        <f t="shared" ca="1" si="3"/>
        <v>Lagos</v>
      </c>
      <c r="F22">
        <f t="shared" ca="1" si="4"/>
        <v>3</v>
      </c>
      <c r="G22">
        <f t="shared" ca="1" si="5"/>
        <v>3200</v>
      </c>
      <c r="H22">
        <f t="shared" ca="1" si="6"/>
        <v>9600</v>
      </c>
    </row>
    <row r="23" spans="1:8">
      <c r="A23" s="2">
        <f t="shared" ca="1" si="0"/>
        <v>45667</v>
      </c>
      <c r="B23" s="3">
        <f t="shared" si="7"/>
        <v>1022</v>
      </c>
      <c r="C23" s="4" t="str">
        <f t="shared" ca="1" si="1"/>
        <v>Milk</v>
      </c>
      <c r="D23" s="4" t="str">
        <f t="shared" ca="1" si="2"/>
        <v>Household</v>
      </c>
      <c r="E23" t="str">
        <f t="shared" ca="1" si="3"/>
        <v>Kano</v>
      </c>
      <c r="F23">
        <f t="shared" ca="1" si="4"/>
        <v>20</v>
      </c>
      <c r="G23">
        <f t="shared" ca="1" si="5"/>
        <v>1800</v>
      </c>
      <c r="H23">
        <f t="shared" ca="1" si="6"/>
        <v>36000</v>
      </c>
    </row>
    <row r="24" spans="1:8">
      <c r="A24" s="2">
        <f t="shared" ca="1" si="0"/>
        <v>45675</v>
      </c>
      <c r="B24" s="3">
        <f t="shared" si="7"/>
        <v>1023</v>
      </c>
      <c r="C24" s="4" t="str">
        <f t="shared" ca="1" si="1"/>
        <v>Rice</v>
      </c>
      <c r="D24" s="4" t="str">
        <f t="shared" ca="1" si="2"/>
        <v>Beverage</v>
      </c>
      <c r="E24" t="str">
        <f t="shared" ca="1" si="3"/>
        <v>Abuja</v>
      </c>
      <c r="F24">
        <f t="shared" ca="1" si="4"/>
        <v>9</v>
      </c>
      <c r="G24">
        <f t="shared" ca="1" si="5"/>
        <v>5100</v>
      </c>
      <c r="H24">
        <f t="shared" ca="1" si="6"/>
        <v>45900</v>
      </c>
    </row>
    <row r="25" spans="1:8">
      <c r="A25" s="2">
        <f t="shared" ca="1" si="0"/>
        <v>45661</v>
      </c>
      <c r="B25" s="3">
        <f t="shared" si="7"/>
        <v>1024</v>
      </c>
      <c r="C25" s="4" t="str">
        <f t="shared" ca="1" si="1"/>
        <v>Soft Drink</v>
      </c>
      <c r="D25" s="4" t="str">
        <f t="shared" ca="1" si="2"/>
        <v>Household</v>
      </c>
      <c r="E25" t="str">
        <f t="shared" ca="1" si="3"/>
        <v>Ibadan</v>
      </c>
      <c r="F25">
        <f t="shared" ca="1" si="4"/>
        <v>17</v>
      </c>
      <c r="G25">
        <f t="shared" ca="1" si="5"/>
        <v>3700</v>
      </c>
      <c r="H25">
        <f t="shared" ca="1" si="6"/>
        <v>62900</v>
      </c>
    </row>
    <row r="26" spans="1:8">
      <c r="A26" s="2">
        <f t="shared" ca="1" si="0"/>
        <v>45685</v>
      </c>
      <c r="B26" s="3">
        <f t="shared" si="7"/>
        <v>1025</v>
      </c>
      <c r="C26" s="4" t="str">
        <f t="shared" ca="1" si="1"/>
        <v>Bread</v>
      </c>
      <c r="D26" s="4" t="str">
        <f t="shared" ca="1" si="2"/>
        <v>Beverage</v>
      </c>
      <c r="E26" t="str">
        <f t="shared" ca="1" si="3"/>
        <v>Port Harcourt</v>
      </c>
      <c r="F26">
        <f t="shared" ca="1" si="4"/>
        <v>8</v>
      </c>
      <c r="G26">
        <f t="shared" ca="1" si="5"/>
        <v>800</v>
      </c>
      <c r="H26">
        <f t="shared" ca="1" si="6"/>
        <v>6400</v>
      </c>
    </row>
    <row r="27" spans="1:8">
      <c r="A27" s="2">
        <f t="shared" ca="1" si="0"/>
        <v>45667</v>
      </c>
      <c r="B27" s="3">
        <f t="shared" si="7"/>
        <v>1026</v>
      </c>
      <c r="C27" s="4" t="str">
        <f t="shared" ca="1" si="1"/>
        <v>Rice</v>
      </c>
      <c r="D27" s="4" t="str">
        <f t="shared" ca="1" si="2"/>
        <v>Household</v>
      </c>
      <c r="E27" t="str">
        <f t="shared" ca="1" si="3"/>
        <v>Lagos</v>
      </c>
      <c r="F27">
        <f t="shared" ca="1" si="4"/>
        <v>2</v>
      </c>
      <c r="G27">
        <f t="shared" ca="1" si="5"/>
        <v>4100</v>
      </c>
      <c r="H27">
        <f t="shared" ca="1" si="6"/>
        <v>8200</v>
      </c>
    </row>
    <row r="28" spans="1:8">
      <c r="A28" s="2">
        <f t="shared" ca="1" si="0"/>
        <v>45658</v>
      </c>
      <c r="B28" s="3">
        <f t="shared" si="7"/>
        <v>1027</v>
      </c>
      <c r="C28" s="4" t="str">
        <f t="shared" ca="1" si="1"/>
        <v>Beans</v>
      </c>
      <c r="D28" s="4" t="str">
        <f t="shared" ca="1" si="2"/>
        <v>Household</v>
      </c>
      <c r="E28" t="str">
        <f t="shared" ca="1" si="3"/>
        <v>Lagos</v>
      </c>
      <c r="F28">
        <f t="shared" ca="1" si="4"/>
        <v>3</v>
      </c>
      <c r="G28">
        <f t="shared" ca="1" si="5"/>
        <v>2200</v>
      </c>
      <c r="H28">
        <f t="shared" ca="1" si="6"/>
        <v>6600</v>
      </c>
    </row>
    <row r="29" spans="1:8">
      <c r="A29" s="2">
        <f t="shared" ca="1" si="0"/>
        <v>45675</v>
      </c>
      <c r="B29" s="3">
        <f t="shared" si="7"/>
        <v>1028</v>
      </c>
      <c r="C29" s="4" t="str">
        <f t="shared" ca="1" si="1"/>
        <v>Cooking Oil</v>
      </c>
      <c r="D29" s="4" t="str">
        <f t="shared" ca="1" si="2"/>
        <v>Food</v>
      </c>
      <c r="E29" t="str">
        <f t="shared" ca="1" si="3"/>
        <v>Lagos</v>
      </c>
      <c r="F29">
        <f t="shared" ca="1" si="4"/>
        <v>8</v>
      </c>
      <c r="G29">
        <f t="shared" ca="1" si="5"/>
        <v>5000</v>
      </c>
      <c r="H29">
        <f t="shared" ca="1" si="6"/>
        <v>40000</v>
      </c>
    </row>
    <row r="30" spans="1:8">
      <c r="A30" s="2">
        <f t="shared" ca="1" si="0"/>
        <v>45659</v>
      </c>
      <c r="B30" s="3">
        <f t="shared" si="7"/>
        <v>1029</v>
      </c>
      <c r="C30" s="4" t="str">
        <f t="shared" ca="1" si="1"/>
        <v>Milk</v>
      </c>
      <c r="D30" s="4" t="str">
        <f t="shared" ca="1" si="2"/>
        <v>Beverage</v>
      </c>
      <c r="E30" t="str">
        <f t="shared" ca="1" si="3"/>
        <v>Port Harcourt</v>
      </c>
      <c r="F30">
        <f t="shared" ca="1" si="4"/>
        <v>2</v>
      </c>
      <c r="G30">
        <f t="shared" ca="1" si="5"/>
        <v>1400</v>
      </c>
      <c r="H30">
        <f t="shared" ca="1" si="6"/>
        <v>2800</v>
      </c>
    </row>
    <row r="31" spans="1:8">
      <c r="A31" s="2">
        <f t="shared" ca="1" si="0"/>
        <v>45685</v>
      </c>
      <c r="B31" s="3">
        <f t="shared" si="7"/>
        <v>1030</v>
      </c>
      <c r="C31" s="4" t="str">
        <f t="shared" ca="1" si="1"/>
        <v>Sugar</v>
      </c>
      <c r="D31" s="4" t="str">
        <f t="shared" ca="1" si="2"/>
        <v>Beverage</v>
      </c>
      <c r="E31" t="str">
        <f t="shared" ca="1" si="3"/>
        <v>Port Harcourt</v>
      </c>
      <c r="F31">
        <f t="shared" ca="1" si="4"/>
        <v>1</v>
      </c>
      <c r="G31">
        <f t="shared" ca="1" si="5"/>
        <v>1900</v>
      </c>
      <c r="H31">
        <f t="shared" ca="1" si="6"/>
        <v>1900</v>
      </c>
    </row>
    <row r="32" spans="1:8">
      <c r="A32" s="2">
        <f t="shared" ca="1" si="0"/>
        <v>45669</v>
      </c>
      <c r="B32" s="3">
        <f t="shared" si="7"/>
        <v>1031</v>
      </c>
      <c r="C32" s="4" t="str">
        <f t="shared" ca="1" si="1"/>
        <v>Milk</v>
      </c>
      <c r="D32" s="4" t="str">
        <f t="shared" ca="1" si="2"/>
        <v>Beverage</v>
      </c>
      <c r="E32" t="str">
        <f t="shared" ca="1" si="3"/>
        <v>Kano</v>
      </c>
      <c r="F32">
        <f t="shared" ca="1" si="4"/>
        <v>13</v>
      </c>
      <c r="G32">
        <f t="shared" ca="1" si="5"/>
        <v>2200</v>
      </c>
      <c r="H32">
        <f t="shared" ca="1" si="6"/>
        <v>28600</v>
      </c>
    </row>
    <row r="33" spans="1:8">
      <c r="A33" s="2">
        <f t="shared" ca="1" si="0"/>
        <v>45675</v>
      </c>
      <c r="B33" s="3">
        <f t="shared" si="7"/>
        <v>1032</v>
      </c>
      <c r="C33" s="4" t="str">
        <f t="shared" ca="1" si="1"/>
        <v>Cooking Oil</v>
      </c>
      <c r="D33" s="4" t="str">
        <f t="shared" ca="1" si="2"/>
        <v>Household</v>
      </c>
      <c r="E33" t="str">
        <f t="shared" ca="1" si="3"/>
        <v>Port Harcourt</v>
      </c>
      <c r="F33">
        <f t="shared" ca="1" si="4"/>
        <v>20</v>
      </c>
      <c r="G33">
        <f t="shared" ca="1" si="5"/>
        <v>5100</v>
      </c>
      <c r="H33">
        <f t="shared" ca="1" si="6"/>
        <v>102000</v>
      </c>
    </row>
    <row r="34" spans="1:8">
      <c r="A34" s="2">
        <f t="shared" ca="1" si="0"/>
        <v>45663</v>
      </c>
      <c r="B34" s="3">
        <f t="shared" si="7"/>
        <v>1033</v>
      </c>
      <c r="C34" s="4" t="str">
        <f t="shared" ca="1" si="1"/>
        <v>Sugar</v>
      </c>
      <c r="D34" s="4" t="str">
        <f t="shared" ca="1" si="2"/>
        <v>Beverage</v>
      </c>
      <c r="E34" t="str">
        <f t="shared" ca="1" si="3"/>
        <v>Abuja</v>
      </c>
      <c r="F34">
        <f t="shared" ca="1" si="4"/>
        <v>12</v>
      </c>
      <c r="G34">
        <f t="shared" ca="1" si="5"/>
        <v>3100</v>
      </c>
      <c r="H34">
        <f t="shared" ca="1" si="6"/>
        <v>37200</v>
      </c>
    </row>
    <row r="35" spans="1:8">
      <c r="A35" s="2">
        <f t="shared" ca="1" si="0"/>
        <v>45674</v>
      </c>
      <c r="B35" s="3">
        <f t="shared" si="7"/>
        <v>1034</v>
      </c>
      <c r="C35" s="4" t="str">
        <f t="shared" ca="1" si="1"/>
        <v>Rice</v>
      </c>
      <c r="D35" s="4" t="str">
        <f t="shared" ca="1" si="2"/>
        <v>Household</v>
      </c>
      <c r="E35" t="str">
        <f t="shared" ca="1" si="3"/>
        <v>Kano</v>
      </c>
      <c r="F35">
        <f t="shared" ca="1" si="4"/>
        <v>10</v>
      </c>
      <c r="G35">
        <f t="shared" ca="1" si="5"/>
        <v>1200</v>
      </c>
      <c r="H35">
        <f t="shared" ca="1" si="6"/>
        <v>12000</v>
      </c>
    </row>
    <row r="36" spans="1:8">
      <c r="A36" s="2">
        <f t="shared" ca="1" si="0"/>
        <v>45660</v>
      </c>
      <c r="B36" s="3">
        <f t="shared" si="7"/>
        <v>1035</v>
      </c>
      <c r="C36" s="4" t="str">
        <f t="shared" ca="1" si="1"/>
        <v>Soft Drink</v>
      </c>
      <c r="D36" s="4" t="str">
        <f t="shared" ca="1" si="2"/>
        <v>Household</v>
      </c>
      <c r="E36" t="str">
        <f t="shared" ca="1" si="3"/>
        <v>Ibadan</v>
      </c>
      <c r="F36">
        <f t="shared" ca="1" si="4"/>
        <v>9</v>
      </c>
      <c r="G36">
        <f t="shared" ca="1" si="5"/>
        <v>1300</v>
      </c>
      <c r="H36">
        <f t="shared" ca="1" si="6"/>
        <v>11700</v>
      </c>
    </row>
    <row r="37" spans="1:8">
      <c r="A37" s="2">
        <f t="shared" ca="1" si="0"/>
        <v>45680</v>
      </c>
      <c r="B37" s="3">
        <f t="shared" si="7"/>
        <v>1036</v>
      </c>
      <c r="C37" s="4" t="str">
        <f t="shared" ca="1" si="1"/>
        <v>Rice</v>
      </c>
      <c r="D37" s="4" t="str">
        <f t="shared" ca="1" si="2"/>
        <v>Beverage</v>
      </c>
      <c r="E37" t="str">
        <f t="shared" ca="1" si="3"/>
        <v>Kano</v>
      </c>
      <c r="F37">
        <f t="shared" ca="1" si="4"/>
        <v>16</v>
      </c>
      <c r="G37">
        <f t="shared" ca="1" si="5"/>
        <v>5900</v>
      </c>
      <c r="H37">
        <f t="shared" ca="1" si="6"/>
        <v>94400</v>
      </c>
    </row>
    <row r="38" spans="1:8">
      <c r="A38" s="2">
        <f t="shared" ca="1" si="0"/>
        <v>45671</v>
      </c>
      <c r="B38" s="3">
        <f t="shared" si="7"/>
        <v>1037</v>
      </c>
      <c r="C38" s="4" t="str">
        <f t="shared" ca="1" si="1"/>
        <v>Cooking Oil</v>
      </c>
      <c r="D38" s="4" t="str">
        <f t="shared" ca="1" si="2"/>
        <v>Beverage</v>
      </c>
      <c r="E38" t="str">
        <f t="shared" ca="1" si="3"/>
        <v>Port Harcourt</v>
      </c>
      <c r="F38">
        <f t="shared" ca="1" si="4"/>
        <v>19</v>
      </c>
      <c r="G38">
        <f t="shared" ca="1" si="5"/>
        <v>5600</v>
      </c>
      <c r="H38">
        <f t="shared" ca="1" si="6"/>
        <v>106400</v>
      </c>
    </row>
    <row r="39" spans="1:8">
      <c r="A39" s="2">
        <f t="shared" ca="1" si="0"/>
        <v>45670</v>
      </c>
      <c r="B39" s="3">
        <f t="shared" si="7"/>
        <v>1038</v>
      </c>
      <c r="C39" s="4" t="str">
        <f t="shared" ca="1" si="1"/>
        <v>Sugar</v>
      </c>
      <c r="D39" s="4" t="str">
        <f t="shared" ca="1" si="2"/>
        <v>Food</v>
      </c>
      <c r="E39" t="str">
        <f t="shared" ca="1" si="3"/>
        <v>Ibadan</v>
      </c>
      <c r="F39">
        <f t="shared" ca="1" si="4"/>
        <v>12</v>
      </c>
      <c r="G39">
        <f t="shared" ca="1" si="5"/>
        <v>6300</v>
      </c>
      <c r="H39">
        <f t="shared" ca="1" si="6"/>
        <v>75600</v>
      </c>
    </row>
    <row r="40" spans="1:8">
      <c r="A40" s="2">
        <f t="shared" ca="1" si="0"/>
        <v>45659</v>
      </c>
      <c r="B40" s="3">
        <f t="shared" si="7"/>
        <v>1039</v>
      </c>
      <c r="C40" s="4" t="str">
        <f t="shared" ca="1" si="1"/>
        <v>Soft Drink</v>
      </c>
      <c r="D40" s="4" t="str">
        <f t="shared" ca="1" si="2"/>
        <v>Beverage</v>
      </c>
      <c r="E40" t="str">
        <f t="shared" ca="1" si="3"/>
        <v>Abuja</v>
      </c>
      <c r="F40">
        <f t="shared" ca="1" si="4"/>
        <v>20</v>
      </c>
      <c r="G40">
        <f t="shared" ca="1" si="5"/>
        <v>1900</v>
      </c>
      <c r="H40">
        <f t="shared" ca="1" si="6"/>
        <v>38000</v>
      </c>
    </row>
    <row r="41" spans="1:8">
      <c r="A41" s="2">
        <f t="shared" ca="1" si="0"/>
        <v>45682</v>
      </c>
      <c r="B41" s="3">
        <f t="shared" si="7"/>
        <v>1040</v>
      </c>
      <c r="C41" s="4" t="str">
        <f t="shared" ca="1" si="1"/>
        <v>Noodles</v>
      </c>
      <c r="D41" s="4" t="str">
        <f t="shared" ca="1" si="2"/>
        <v>Household</v>
      </c>
      <c r="E41" t="str">
        <f t="shared" ca="1" si="3"/>
        <v>Kano</v>
      </c>
      <c r="F41">
        <f t="shared" ca="1" si="4"/>
        <v>4</v>
      </c>
      <c r="G41">
        <f t="shared" ca="1" si="5"/>
        <v>6600</v>
      </c>
      <c r="H41">
        <f t="shared" ca="1" si="6"/>
        <v>26400</v>
      </c>
    </row>
    <row r="42" spans="1:8">
      <c r="A42" s="2">
        <f t="shared" ca="1" si="0"/>
        <v>45678</v>
      </c>
      <c r="B42" s="3">
        <f t="shared" si="7"/>
        <v>1041</v>
      </c>
      <c r="C42" s="4" t="str">
        <f t="shared" ca="1" si="1"/>
        <v>Milk</v>
      </c>
      <c r="D42" s="4" t="str">
        <f t="shared" ca="1" si="2"/>
        <v>Beverage</v>
      </c>
      <c r="E42" t="str">
        <f t="shared" ca="1" si="3"/>
        <v>Ibadan</v>
      </c>
      <c r="F42">
        <f t="shared" ca="1" si="4"/>
        <v>11</v>
      </c>
      <c r="G42">
        <f t="shared" ca="1" si="5"/>
        <v>6400</v>
      </c>
      <c r="H42">
        <f t="shared" ca="1" si="6"/>
        <v>70400</v>
      </c>
    </row>
    <row r="43" spans="1:8">
      <c r="A43" s="2">
        <f t="shared" ca="1" si="0"/>
        <v>45684</v>
      </c>
      <c r="B43" s="3">
        <f t="shared" si="7"/>
        <v>1042</v>
      </c>
      <c r="C43" s="4" t="str">
        <f t="shared" ca="1" si="1"/>
        <v>Bread</v>
      </c>
      <c r="D43" s="4" t="str">
        <f t="shared" ca="1" si="2"/>
        <v>Household</v>
      </c>
      <c r="E43" t="str">
        <f t="shared" ca="1" si="3"/>
        <v>Ibadan</v>
      </c>
      <c r="F43">
        <f t="shared" ca="1" si="4"/>
        <v>3</v>
      </c>
      <c r="G43">
        <f t="shared" ca="1" si="5"/>
        <v>6900</v>
      </c>
      <c r="H43">
        <f t="shared" ca="1" si="6"/>
        <v>20700</v>
      </c>
    </row>
    <row r="44" spans="1:8">
      <c r="A44" s="2">
        <f t="shared" ca="1" si="0"/>
        <v>45670</v>
      </c>
      <c r="B44" s="3">
        <f t="shared" si="7"/>
        <v>1043</v>
      </c>
      <c r="C44" s="4" t="str">
        <f t="shared" ca="1" si="1"/>
        <v>Milk</v>
      </c>
      <c r="D44" s="4" t="str">
        <f t="shared" ca="1" si="2"/>
        <v>Beverage</v>
      </c>
      <c r="E44" t="str">
        <f t="shared" ca="1" si="3"/>
        <v>Port Harcourt</v>
      </c>
      <c r="F44">
        <f t="shared" ca="1" si="4"/>
        <v>16</v>
      </c>
      <c r="G44">
        <f t="shared" ca="1" si="5"/>
        <v>6300</v>
      </c>
      <c r="H44">
        <f t="shared" ca="1" si="6"/>
        <v>100800</v>
      </c>
    </row>
    <row r="45" spans="1:8">
      <c r="A45" s="2">
        <f t="shared" ca="1" si="0"/>
        <v>45663</v>
      </c>
      <c r="B45" s="3">
        <f t="shared" si="7"/>
        <v>1044</v>
      </c>
      <c r="C45" s="4" t="str">
        <f t="shared" ca="1" si="1"/>
        <v>Cooking Oil</v>
      </c>
      <c r="D45" s="4" t="str">
        <f t="shared" ca="1" si="2"/>
        <v>Food</v>
      </c>
      <c r="E45" t="str">
        <f t="shared" ca="1" si="3"/>
        <v>Kano</v>
      </c>
      <c r="F45">
        <f t="shared" ca="1" si="4"/>
        <v>12</v>
      </c>
      <c r="G45">
        <f t="shared" ca="1" si="5"/>
        <v>5500</v>
      </c>
      <c r="H45">
        <f t="shared" ca="1" si="6"/>
        <v>66000</v>
      </c>
    </row>
    <row r="46" spans="1:8">
      <c r="A46" s="2">
        <f t="shared" ca="1" si="0"/>
        <v>45663</v>
      </c>
      <c r="B46" s="3">
        <f t="shared" si="7"/>
        <v>1045</v>
      </c>
      <c r="C46" s="4" t="str">
        <f t="shared" ca="1" si="1"/>
        <v>Beans</v>
      </c>
      <c r="D46" s="4" t="str">
        <f t="shared" ca="1" si="2"/>
        <v>Household</v>
      </c>
      <c r="E46" t="str">
        <f t="shared" ca="1" si="3"/>
        <v>Port Harcourt</v>
      </c>
      <c r="F46">
        <f t="shared" ca="1" si="4"/>
        <v>1</v>
      </c>
      <c r="G46">
        <f t="shared" ca="1" si="5"/>
        <v>5600</v>
      </c>
      <c r="H46">
        <f t="shared" ca="1" si="6"/>
        <v>5600</v>
      </c>
    </row>
    <row r="47" spans="1:8">
      <c r="A47" s="2">
        <f t="shared" ca="1" si="0"/>
        <v>45676</v>
      </c>
      <c r="B47" s="3">
        <f t="shared" si="7"/>
        <v>1046</v>
      </c>
      <c r="C47" s="4" t="str">
        <f t="shared" ca="1" si="1"/>
        <v>Rice</v>
      </c>
      <c r="D47" s="4" t="str">
        <f t="shared" ca="1" si="2"/>
        <v>Food</v>
      </c>
      <c r="E47" t="str">
        <f t="shared" ca="1" si="3"/>
        <v>Lagos</v>
      </c>
      <c r="F47">
        <f t="shared" ca="1" si="4"/>
        <v>9</v>
      </c>
      <c r="G47">
        <f t="shared" ca="1" si="5"/>
        <v>6700</v>
      </c>
      <c r="H47">
        <f t="shared" ca="1" si="6"/>
        <v>60300</v>
      </c>
    </row>
    <row r="48" spans="1:8">
      <c r="A48" s="2">
        <f t="shared" ca="1" si="0"/>
        <v>45674</v>
      </c>
      <c r="B48" s="3">
        <f t="shared" si="7"/>
        <v>1047</v>
      </c>
      <c r="C48" s="4" t="str">
        <f t="shared" ca="1" si="1"/>
        <v>Bread</v>
      </c>
      <c r="D48" s="4" t="str">
        <f t="shared" ca="1" si="2"/>
        <v>Food</v>
      </c>
      <c r="E48" t="str">
        <f t="shared" ca="1" si="3"/>
        <v>Ibadan</v>
      </c>
      <c r="F48">
        <f t="shared" ca="1" si="4"/>
        <v>2</v>
      </c>
      <c r="G48">
        <f t="shared" ca="1" si="5"/>
        <v>2100</v>
      </c>
      <c r="H48">
        <f t="shared" ca="1" si="6"/>
        <v>4200</v>
      </c>
    </row>
    <row r="49" spans="1:8">
      <c r="A49" s="2">
        <f t="shared" ca="1" si="0"/>
        <v>45665</v>
      </c>
      <c r="B49" s="3">
        <f t="shared" si="7"/>
        <v>1048</v>
      </c>
      <c r="C49" s="4" t="str">
        <f t="shared" ca="1" si="1"/>
        <v>Soft Drink</v>
      </c>
      <c r="D49" s="4" t="str">
        <f t="shared" ca="1" si="2"/>
        <v>Household</v>
      </c>
      <c r="E49" t="str">
        <f t="shared" ca="1" si="3"/>
        <v>Ibadan</v>
      </c>
      <c r="F49">
        <f t="shared" ca="1" si="4"/>
        <v>19</v>
      </c>
      <c r="G49">
        <f t="shared" ca="1" si="5"/>
        <v>3500</v>
      </c>
      <c r="H49">
        <f t="shared" ca="1" si="6"/>
        <v>66500</v>
      </c>
    </row>
    <row r="50" spans="1:8">
      <c r="A50" s="2">
        <f t="shared" ca="1" si="0"/>
        <v>45665</v>
      </c>
      <c r="B50" s="3">
        <f t="shared" si="7"/>
        <v>1049</v>
      </c>
      <c r="C50" s="4" t="str">
        <f t="shared" ca="1" si="1"/>
        <v>Bread</v>
      </c>
      <c r="D50" s="4" t="str">
        <f t="shared" ca="1" si="2"/>
        <v>Household</v>
      </c>
      <c r="E50" t="str">
        <f t="shared" ca="1" si="3"/>
        <v>Ibadan</v>
      </c>
      <c r="F50">
        <f t="shared" ca="1" si="4"/>
        <v>11</v>
      </c>
      <c r="G50">
        <f t="shared" ca="1" si="5"/>
        <v>6200</v>
      </c>
      <c r="H50">
        <f t="shared" ca="1" si="6"/>
        <v>68200</v>
      </c>
    </row>
    <row r="51" spans="1:8">
      <c r="A51" s="2">
        <f t="shared" ca="1" si="0"/>
        <v>45671</v>
      </c>
      <c r="B51" s="3">
        <f t="shared" si="7"/>
        <v>1050</v>
      </c>
      <c r="C51" s="4" t="str">
        <f t="shared" ca="1" si="1"/>
        <v>Cooking Oil</v>
      </c>
      <c r="D51" s="4" t="str">
        <f t="shared" ca="1" si="2"/>
        <v>Beverage</v>
      </c>
      <c r="E51" t="str">
        <f t="shared" ca="1" si="3"/>
        <v>Lagos</v>
      </c>
      <c r="F51">
        <f t="shared" ca="1" si="4"/>
        <v>19</v>
      </c>
      <c r="G51">
        <f t="shared" ca="1" si="5"/>
        <v>5000</v>
      </c>
      <c r="H51">
        <f t="shared" ca="1" si="6"/>
        <v>95000</v>
      </c>
    </row>
    <row r="52" spans="1:8">
      <c r="A52" s="2">
        <f t="shared" ca="1" si="0"/>
        <v>45672</v>
      </c>
      <c r="B52" s="3">
        <f t="shared" si="7"/>
        <v>1051</v>
      </c>
      <c r="C52" s="4" t="str">
        <f t="shared" ca="1" si="1"/>
        <v>Cooking Oil</v>
      </c>
      <c r="D52" s="4" t="str">
        <f t="shared" ca="1" si="2"/>
        <v>Beverage</v>
      </c>
      <c r="E52" t="str">
        <f t="shared" ca="1" si="3"/>
        <v>Lagos</v>
      </c>
      <c r="F52">
        <f t="shared" ca="1" si="4"/>
        <v>11</v>
      </c>
      <c r="G52">
        <f t="shared" ca="1" si="5"/>
        <v>2700</v>
      </c>
      <c r="H52">
        <f t="shared" ca="1" si="6"/>
        <v>29700</v>
      </c>
    </row>
    <row r="53" spans="1:8">
      <c r="A53" s="2">
        <f t="shared" ca="1" si="0"/>
        <v>45661</v>
      </c>
      <c r="B53" s="3">
        <f t="shared" si="7"/>
        <v>1052</v>
      </c>
      <c r="C53" s="4" t="str">
        <f t="shared" ca="1" si="1"/>
        <v>Bread</v>
      </c>
      <c r="D53" s="4" t="str">
        <f t="shared" ca="1" si="2"/>
        <v>Food</v>
      </c>
      <c r="E53" t="str">
        <f t="shared" ca="1" si="3"/>
        <v>Kano</v>
      </c>
      <c r="F53">
        <f t="shared" ca="1" si="4"/>
        <v>9</v>
      </c>
      <c r="G53">
        <f t="shared" ca="1" si="5"/>
        <v>2900</v>
      </c>
      <c r="H53">
        <f t="shared" ca="1" si="6"/>
        <v>26100</v>
      </c>
    </row>
    <row r="54" spans="1:8">
      <c r="A54" s="2">
        <f t="shared" ca="1" si="0"/>
        <v>45665</v>
      </c>
      <c r="B54" s="3">
        <f t="shared" si="7"/>
        <v>1053</v>
      </c>
      <c r="C54" s="4" t="str">
        <f t="shared" ca="1" si="1"/>
        <v>Cooking Oil</v>
      </c>
      <c r="D54" s="4" t="str">
        <f t="shared" ca="1" si="2"/>
        <v>Food</v>
      </c>
      <c r="E54" t="str">
        <f t="shared" ca="1" si="3"/>
        <v>Port Harcourt</v>
      </c>
      <c r="F54">
        <f t="shared" ca="1" si="4"/>
        <v>7</v>
      </c>
      <c r="G54">
        <f t="shared" ca="1" si="5"/>
        <v>900</v>
      </c>
      <c r="H54">
        <f t="shared" ca="1" si="6"/>
        <v>6300</v>
      </c>
    </row>
    <row r="55" spans="1:8">
      <c r="A55" s="2">
        <f t="shared" ca="1" si="0"/>
        <v>45683</v>
      </c>
      <c r="B55" s="3">
        <f t="shared" si="7"/>
        <v>1054</v>
      </c>
      <c r="C55" s="4" t="str">
        <f t="shared" ca="1" si="1"/>
        <v>Noodles</v>
      </c>
      <c r="D55" s="4" t="str">
        <f t="shared" ca="1" si="2"/>
        <v>Household</v>
      </c>
      <c r="E55" t="str">
        <f t="shared" ca="1" si="3"/>
        <v>Ibadan</v>
      </c>
      <c r="F55">
        <f t="shared" ca="1" si="4"/>
        <v>13</v>
      </c>
      <c r="G55">
        <f t="shared" ca="1" si="5"/>
        <v>2200</v>
      </c>
      <c r="H55">
        <f t="shared" ca="1" si="6"/>
        <v>28600</v>
      </c>
    </row>
    <row r="56" spans="1:8">
      <c r="A56" s="2">
        <f t="shared" ca="1" si="0"/>
        <v>45679</v>
      </c>
      <c r="B56" s="3">
        <f t="shared" si="7"/>
        <v>1055</v>
      </c>
      <c r="C56" s="4" t="str">
        <f t="shared" ca="1" si="1"/>
        <v>Milk</v>
      </c>
      <c r="D56" s="4" t="str">
        <f t="shared" ca="1" si="2"/>
        <v>Food</v>
      </c>
      <c r="E56" t="str">
        <f t="shared" ca="1" si="3"/>
        <v>Port Harcourt</v>
      </c>
      <c r="F56">
        <f t="shared" ca="1" si="4"/>
        <v>4</v>
      </c>
      <c r="G56">
        <f t="shared" ca="1" si="5"/>
        <v>1300</v>
      </c>
      <c r="H56">
        <f t="shared" ca="1" si="6"/>
        <v>5200</v>
      </c>
    </row>
    <row r="57" spans="1:8">
      <c r="A57" s="2">
        <f t="shared" ca="1" si="0"/>
        <v>45681</v>
      </c>
      <c r="B57" s="3">
        <f t="shared" si="7"/>
        <v>1056</v>
      </c>
      <c r="C57" s="4" t="str">
        <f t="shared" ca="1" si="1"/>
        <v>Beans</v>
      </c>
      <c r="D57" s="4" t="str">
        <f t="shared" ca="1" si="2"/>
        <v>Household</v>
      </c>
      <c r="E57" t="str">
        <f t="shared" ca="1" si="3"/>
        <v>Lagos</v>
      </c>
      <c r="F57">
        <f t="shared" ca="1" si="4"/>
        <v>8</v>
      </c>
      <c r="G57">
        <f t="shared" ca="1" si="5"/>
        <v>600</v>
      </c>
      <c r="H57">
        <f t="shared" ca="1" si="6"/>
        <v>4800</v>
      </c>
    </row>
    <row r="58" spans="1:8">
      <c r="A58" s="2">
        <f t="shared" ca="1" si="0"/>
        <v>45661</v>
      </c>
      <c r="B58" s="3">
        <f t="shared" si="7"/>
        <v>1057</v>
      </c>
      <c r="C58" s="4" t="str">
        <f t="shared" ca="1" si="1"/>
        <v>Soft Drink</v>
      </c>
      <c r="D58" s="4" t="str">
        <f t="shared" ca="1" si="2"/>
        <v>Beverage</v>
      </c>
      <c r="E58" t="str">
        <f t="shared" ca="1" si="3"/>
        <v>Abuja</v>
      </c>
      <c r="F58">
        <f t="shared" ca="1" si="4"/>
        <v>1</v>
      </c>
      <c r="G58">
        <f t="shared" ca="1" si="5"/>
        <v>5500</v>
      </c>
      <c r="H58">
        <f t="shared" ca="1" si="6"/>
        <v>5500</v>
      </c>
    </row>
    <row r="59" spans="1:8">
      <c r="A59" s="2">
        <f t="shared" ca="1" si="0"/>
        <v>45668</v>
      </c>
      <c r="B59" s="3">
        <f t="shared" si="7"/>
        <v>1058</v>
      </c>
      <c r="C59" s="4" t="str">
        <f t="shared" ca="1" si="1"/>
        <v>Soft Drink</v>
      </c>
      <c r="D59" s="4" t="str">
        <f t="shared" ca="1" si="2"/>
        <v>Beverage</v>
      </c>
      <c r="E59" t="str">
        <f t="shared" ca="1" si="3"/>
        <v>Ibadan</v>
      </c>
      <c r="F59">
        <f t="shared" ca="1" si="4"/>
        <v>20</v>
      </c>
      <c r="G59">
        <f t="shared" ca="1" si="5"/>
        <v>1100</v>
      </c>
      <c r="H59">
        <f t="shared" ca="1" si="6"/>
        <v>22000</v>
      </c>
    </row>
    <row r="60" spans="1:8">
      <c r="A60" s="2">
        <f t="shared" ca="1" si="0"/>
        <v>45667</v>
      </c>
      <c r="B60" s="3">
        <f t="shared" si="7"/>
        <v>1059</v>
      </c>
      <c r="C60" s="4" t="str">
        <f t="shared" ca="1" si="1"/>
        <v>Cooking Oil</v>
      </c>
      <c r="D60" s="4" t="str">
        <f t="shared" ca="1" si="2"/>
        <v>Household</v>
      </c>
      <c r="E60" t="str">
        <f t="shared" ca="1" si="3"/>
        <v>Lagos</v>
      </c>
      <c r="F60">
        <f t="shared" ca="1" si="4"/>
        <v>6</v>
      </c>
      <c r="G60">
        <f t="shared" ca="1" si="5"/>
        <v>2300</v>
      </c>
      <c r="H60">
        <f t="shared" ca="1" si="6"/>
        <v>13800</v>
      </c>
    </row>
    <row r="61" spans="1:8">
      <c r="A61" s="2">
        <f t="shared" ca="1" si="0"/>
        <v>45677</v>
      </c>
      <c r="B61" s="3">
        <f t="shared" si="7"/>
        <v>1060</v>
      </c>
      <c r="C61" s="4" t="str">
        <f t="shared" ca="1" si="1"/>
        <v>Sugar</v>
      </c>
      <c r="D61" s="4" t="str">
        <f t="shared" ca="1" si="2"/>
        <v>Beverage</v>
      </c>
      <c r="E61" t="str">
        <f t="shared" ca="1" si="3"/>
        <v>Abuja</v>
      </c>
      <c r="F61">
        <f t="shared" ca="1" si="4"/>
        <v>12</v>
      </c>
      <c r="G61">
        <f t="shared" ca="1" si="5"/>
        <v>4300</v>
      </c>
      <c r="H61">
        <f t="shared" ca="1" si="6"/>
        <v>51600</v>
      </c>
    </row>
    <row r="62" spans="1:8">
      <c r="A62" s="2">
        <f t="shared" ca="1" si="0"/>
        <v>45673</v>
      </c>
      <c r="B62" s="3">
        <f t="shared" si="7"/>
        <v>1061</v>
      </c>
      <c r="C62" s="4" t="str">
        <f t="shared" ca="1" si="1"/>
        <v>Rice</v>
      </c>
      <c r="D62" s="4" t="str">
        <f t="shared" ca="1" si="2"/>
        <v>Food</v>
      </c>
      <c r="E62" t="str">
        <f t="shared" ca="1" si="3"/>
        <v>Lagos</v>
      </c>
      <c r="F62">
        <f t="shared" ca="1" si="4"/>
        <v>1</v>
      </c>
      <c r="G62">
        <f t="shared" ca="1" si="5"/>
        <v>6100</v>
      </c>
      <c r="H62">
        <f t="shared" ca="1" si="6"/>
        <v>6100</v>
      </c>
    </row>
    <row r="63" spans="1:8">
      <c r="A63" s="2">
        <f t="shared" ca="1" si="0"/>
        <v>45671</v>
      </c>
      <c r="B63" s="3">
        <f t="shared" si="7"/>
        <v>1062</v>
      </c>
      <c r="C63" s="4" t="str">
        <f t="shared" ca="1" si="1"/>
        <v>Noodles</v>
      </c>
      <c r="D63" s="4" t="str">
        <f t="shared" ca="1" si="2"/>
        <v>Household</v>
      </c>
      <c r="E63" t="str">
        <f t="shared" ca="1" si="3"/>
        <v>Lagos</v>
      </c>
      <c r="F63">
        <f t="shared" ca="1" si="4"/>
        <v>13</v>
      </c>
      <c r="G63">
        <f t="shared" ca="1" si="5"/>
        <v>900</v>
      </c>
      <c r="H63">
        <f t="shared" ca="1" si="6"/>
        <v>11700</v>
      </c>
    </row>
    <row r="64" spans="1:8">
      <c r="A64" s="2">
        <f t="shared" ca="1" si="0"/>
        <v>45669</v>
      </c>
      <c r="B64" s="3">
        <f t="shared" si="7"/>
        <v>1063</v>
      </c>
      <c r="C64" s="4" t="str">
        <f t="shared" ca="1" si="1"/>
        <v>Noodles</v>
      </c>
      <c r="D64" s="4" t="str">
        <f t="shared" ca="1" si="2"/>
        <v>Household</v>
      </c>
      <c r="E64" t="str">
        <f t="shared" ca="1" si="3"/>
        <v>Port Harcourt</v>
      </c>
      <c r="F64">
        <f t="shared" ca="1" si="4"/>
        <v>19</v>
      </c>
      <c r="G64">
        <f t="shared" ca="1" si="5"/>
        <v>2700</v>
      </c>
      <c r="H64">
        <f t="shared" ca="1" si="6"/>
        <v>51300</v>
      </c>
    </row>
    <row r="65" spans="1:8">
      <c r="A65" s="2">
        <f t="shared" ca="1" si="0"/>
        <v>45674</v>
      </c>
      <c r="B65" s="3">
        <f t="shared" si="7"/>
        <v>1064</v>
      </c>
      <c r="C65" s="4" t="str">
        <f t="shared" ca="1" si="1"/>
        <v>Bread</v>
      </c>
      <c r="D65" s="4" t="str">
        <f t="shared" ca="1" si="2"/>
        <v>Beverage</v>
      </c>
      <c r="E65" t="str">
        <f t="shared" ca="1" si="3"/>
        <v>Ibadan</v>
      </c>
      <c r="F65">
        <f t="shared" ca="1" si="4"/>
        <v>19</v>
      </c>
      <c r="G65">
        <f t="shared" ca="1" si="5"/>
        <v>4000</v>
      </c>
      <c r="H65">
        <f t="shared" ca="1" si="6"/>
        <v>76000</v>
      </c>
    </row>
    <row r="66" spans="1:8">
      <c r="A66" s="2">
        <f t="shared" ca="1" si="0"/>
        <v>45677</v>
      </c>
      <c r="B66" s="3">
        <f t="shared" si="7"/>
        <v>1065</v>
      </c>
      <c r="C66" s="4" t="str">
        <f t="shared" ca="1" si="1"/>
        <v>Bread</v>
      </c>
      <c r="D66" s="4" t="str">
        <f t="shared" ca="1" si="2"/>
        <v>Household</v>
      </c>
      <c r="E66" t="str">
        <f t="shared" ca="1" si="3"/>
        <v>Lagos</v>
      </c>
      <c r="F66">
        <f t="shared" ca="1" si="4"/>
        <v>18</v>
      </c>
      <c r="G66">
        <f t="shared" ca="1" si="5"/>
        <v>600</v>
      </c>
      <c r="H66">
        <f t="shared" ca="1" si="6"/>
        <v>10800</v>
      </c>
    </row>
    <row r="67" spans="1:8">
      <c r="A67" s="2">
        <f t="shared" ref="A67:A130" ca="1" si="8">DATE(2025,1,RANDBETWEEN(1,28))</f>
        <v>45670</v>
      </c>
      <c r="B67" s="3">
        <f t="shared" si="7"/>
        <v>1066</v>
      </c>
      <c r="C67" s="4" t="str">
        <f t="shared" ref="C67:C130" ca="1" si="9">CHOOSE(RANDBETWEEN(1,8),"Rice","Beans","Cooking Oil","Milk","Bread","Sugar","Noodles","Soft Drink")</f>
        <v>Rice</v>
      </c>
      <c r="D67" s="4" t="str">
        <f t="shared" ref="D67:D130" ca="1" si="10">CHOOSE(RANDBETWEEN(1,3),"Food","Beverage","Household")</f>
        <v>Beverage</v>
      </c>
      <c r="E67" t="str">
        <f t="shared" ref="E67:E130" ca="1" si="11">CHOOSE(RANDBETWEEN(1,5),"Lagos","Abuja","Port Harcourt","Ibadan","Kano")</f>
        <v>Abuja</v>
      </c>
      <c r="F67">
        <f t="shared" ref="F67:F130" ca="1" si="12">RANDBETWEEN(1,20)</f>
        <v>6</v>
      </c>
      <c r="G67">
        <f t="shared" ref="G67:G130" ca="1" si="13">ROUND(RANDBETWEEN(500,7000)/100,0)*100</f>
        <v>1000</v>
      </c>
      <c r="H67">
        <f t="shared" ref="H67:H130" ca="1" si="14">F67*G67</f>
        <v>6000</v>
      </c>
    </row>
    <row r="68" spans="1:8">
      <c r="A68" s="2">
        <f t="shared" ca="1" si="8"/>
        <v>45680</v>
      </c>
      <c r="B68" s="3">
        <f t="shared" ref="B68:B131" si="15">B67+1</f>
        <v>1067</v>
      </c>
      <c r="C68" s="4" t="str">
        <f t="shared" ca="1" si="9"/>
        <v>Sugar</v>
      </c>
      <c r="D68" s="4" t="str">
        <f t="shared" ca="1" si="10"/>
        <v>Food</v>
      </c>
      <c r="E68" t="str">
        <f t="shared" ca="1" si="11"/>
        <v>Abuja</v>
      </c>
      <c r="F68">
        <f t="shared" ca="1" si="12"/>
        <v>1</v>
      </c>
      <c r="G68">
        <f t="shared" ca="1" si="13"/>
        <v>2300</v>
      </c>
      <c r="H68">
        <f t="shared" ca="1" si="14"/>
        <v>2300</v>
      </c>
    </row>
    <row r="69" spans="1:8">
      <c r="A69" s="2">
        <f t="shared" ca="1" si="8"/>
        <v>45676</v>
      </c>
      <c r="B69" s="3">
        <f t="shared" si="15"/>
        <v>1068</v>
      </c>
      <c r="C69" s="4" t="str">
        <f t="shared" ca="1" si="9"/>
        <v>Beans</v>
      </c>
      <c r="D69" s="4" t="str">
        <f t="shared" ca="1" si="10"/>
        <v>Beverage</v>
      </c>
      <c r="E69" t="str">
        <f t="shared" ca="1" si="11"/>
        <v>Port Harcourt</v>
      </c>
      <c r="F69">
        <f t="shared" ca="1" si="12"/>
        <v>2</v>
      </c>
      <c r="G69">
        <f t="shared" ca="1" si="13"/>
        <v>1100</v>
      </c>
      <c r="H69">
        <f t="shared" ca="1" si="14"/>
        <v>2200</v>
      </c>
    </row>
    <row r="70" spans="1:8">
      <c r="A70" s="2">
        <f t="shared" ca="1" si="8"/>
        <v>45665</v>
      </c>
      <c r="B70" s="3">
        <f t="shared" si="15"/>
        <v>1069</v>
      </c>
      <c r="C70" s="4" t="str">
        <f t="shared" ca="1" si="9"/>
        <v>Sugar</v>
      </c>
      <c r="D70" s="4" t="str">
        <f t="shared" ca="1" si="10"/>
        <v>Beverage</v>
      </c>
      <c r="E70" t="str">
        <f t="shared" ca="1" si="11"/>
        <v>Kano</v>
      </c>
      <c r="F70">
        <f t="shared" ca="1" si="12"/>
        <v>15</v>
      </c>
      <c r="G70">
        <f t="shared" ca="1" si="13"/>
        <v>5200</v>
      </c>
      <c r="H70">
        <f t="shared" ca="1" si="14"/>
        <v>78000</v>
      </c>
    </row>
    <row r="71" spans="1:8">
      <c r="A71" s="2">
        <f t="shared" ca="1" si="8"/>
        <v>45663</v>
      </c>
      <c r="B71" s="3">
        <f t="shared" si="15"/>
        <v>1070</v>
      </c>
      <c r="C71" s="4" t="str">
        <f t="shared" ca="1" si="9"/>
        <v>Beans</v>
      </c>
      <c r="D71" s="4" t="str">
        <f t="shared" ca="1" si="10"/>
        <v>Food</v>
      </c>
      <c r="E71" t="str">
        <f t="shared" ca="1" si="11"/>
        <v>Port Harcourt</v>
      </c>
      <c r="F71">
        <f t="shared" ca="1" si="12"/>
        <v>6</v>
      </c>
      <c r="G71">
        <f t="shared" ca="1" si="13"/>
        <v>800</v>
      </c>
      <c r="H71">
        <f t="shared" ca="1" si="14"/>
        <v>4800</v>
      </c>
    </row>
    <row r="72" spans="1:8">
      <c r="A72" s="2">
        <f t="shared" ca="1" si="8"/>
        <v>45665</v>
      </c>
      <c r="B72" s="3">
        <f t="shared" si="15"/>
        <v>1071</v>
      </c>
      <c r="C72" s="4" t="str">
        <f t="shared" ca="1" si="9"/>
        <v>Soft Drink</v>
      </c>
      <c r="D72" s="4" t="str">
        <f t="shared" ca="1" si="10"/>
        <v>Food</v>
      </c>
      <c r="E72" t="str">
        <f t="shared" ca="1" si="11"/>
        <v>Port Harcourt</v>
      </c>
      <c r="F72">
        <f t="shared" ca="1" si="12"/>
        <v>5</v>
      </c>
      <c r="G72">
        <f t="shared" ca="1" si="13"/>
        <v>2400</v>
      </c>
      <c r="H72">
        <f t="shared" ca="1" si="14"/>
        <v>12000</v>
      </c>
    </row>
    <row r="73" spans="1:8">
      <c r="A73" s="2">
        <f t="shared" ca="1" si="8"/>
        <v>45683</v>
      </c>
      <c r="B73" s="3">
        <f t="shared" si="15"/>
        <v>1072</v>
      </c>
      <c r="C73" s="4" t="str">
        <f t="shared" ca="1" si="9"/>
        <v>Noodles</v>
      </c>
      <c r="D73" s="4" t="str">
        <f t="shared" ca="1" si="10"/>
        <v>Beverage</v>
      </c>
      <c r="E73" t="str">
        <f t="shared" ca="1" si="11"/>
        <v>Kano</v>
      </c>
      <c r="F73">
        <f t="shared" ca="1" si="12"/>
        <v>8</v>
      </c>
      <c r="G73">
        <f t="shared" ca="1" si="13"/>
        <v>1800</v>
      </c>
      <c r="H73">
        <f t="shared" ca="1" si="14"/>
        <v>14400</v>
      </c>
    </row>
    <row r="74" spans="1:8">
      <c r="A74" s="2">
        <f t="shared" ca="1" si="8"/>
        <v>45681</v>
      </c>
      <c r="B74" s="3">
        <f t="shared" si="15"/>
        <v>1073</v>
      </c>
      <c r="C74" s="4" t="str">
        <f t="shared" ca="1" si="9"/>
        <v>Bread</v>
      </c>
      <c r="D74" s="4" t="str">
        <f t="shared" ca="1" si="10"/>
        <v>Beverage</v>
      </c>
      <c r="E74" t="str">
        <f t="shared" ca="1" si="11"/>
        <v>Lagos</v>
      </c>
      <c r="F74">
        <f t="shared" ca="1" si="12"/>
        <v>7</v>
      </c>
      <c r="G74">
        <f t="shared" ca="1" si="13"/>
        <v>6800</v>
      </c>
      <c r="H74">
        <f t="shared" ca="1" si="14"/>
        <v>47600</v>
      </c>
    </row>
    <row r="75" spans="1:8">
      <c r="A75" s="2">
        <f t="shared" ca="1" si="8"/>
        <v>45672</v>
      </c>
      <c r="B75" s="3">
        <f t="shared" si="15"/>
        <v>1074</v>
      </c>
      <c r="C75" s="4" t="str">
        <f t="shared" ca="1" si="9"/>
        <v>Cooking Oil</v>
      </c>
      <c r="D75" s="4" t="str">
        <f t="shared" ca="1" si="10"/>
        <v>Food</v>
      </c>
      <c r="E75" t="str">
        <f t="shared" ca="1" si="11"/>
        <v>Kano</v>
      </c>
      <c r="F75">
        <f t="shared" ca="1" si="12"/>
        <v>1</v>
      </c>
      <c r="G75">
        <f t="shared" ca="1" si="13"/>
        <v>2800</v>
      </c>
      <c r="H75">
        <f t="shared" ca="1" si="14"/>
        <v>2800</v>
      </c>
    </row>
    <row r="76" spans="1:8">
      <c r="A76" s="2">
        <f t="shared" ca="1" si="8"/>
        <v>45683</v>
      </c>
      <c r="B76" s="3">
        <f t="shared" si="15"/>
        <v>1075</v>
      </c>
      <c r="C76" s="4" t="str">
        <f t="shared" ca="1" si="9"/>
        <v>Noodles</v>
      </c>
      <c r="D76" s="4" t="str">
        <f t="shared" ca="1" si="10"/>
        <v>Food</v>
      </c>
      <c r="E76" t="str">
        <f t="shared" ca="1" si="11"/>
        <v>Ibadan</v>
      </c>
      <c r="F76">
        <f t="shared" ca="1" si="12"/>
        <v>6</v>
      </c>
      <c r="G76">
        <f t="shared" ca="1" si="13"/>
        <v>1500</v>
      </c>
      <c r="H76">
        <f t="shared" ca="1" si="14"/>
        <v>9000</v>
      </c>
    </row>
    <row r="77" spans="1:8">
      <c r="A77" s="2">
        <f t="shared" ca="1" si="8"/>
        <v>45671</v>
      </c>
      <c r="B77" s="3">
        <f t="shared" si="15"/>
        <v>1076</v>
      </c>
      <c r="C77" s="4" t="str">
        <f t="shared" ca="1" si="9"/>
        <v>Cooking Oil</v>
      </c>
      <c r="D77" s="4" t="str">
        <f t="shared" ca="1" si="10"/>
        <v>Beverage</v>
      </c>
      <c r="E77" t="str">
        <f t="shared" ca="1" si="11"/>
        <v>Abuja</v>
      </c>
      <c r="F77">
        <f t="shared" ca="1" si="12"/>
        <v>19</v>
      </c>
      <c r="G77">
        <f t="shared" ca="1" si="13"/>
        <v>3100</v>
      </c>
      <c r="H77">
        <f t="shared" ca="1" si="14"/>
        <v>58900</v>
      </c>
    </row>
    <row r="78" spans="1:8">
      <c r="A78" s="2">
        <f t="shared" ca="1" si="8"/>
        <v>45666</v>
      </c>
      <c r="B78" s="3">
        <f t="shared" si="15"/>
        <v>1077</v>
      </c>
      <c r="C78" s="4" t="str">
        <f t="shared" ca="1" si="9"/>
        <v>Bread</v>
      </c>
      <c r="D78" s="4" t="str">
        <f t="shared" ca="1" si="10"/>
        <v>Beverage</v>
      </c>
      <c r="E78" t="str">
        <f t="shared" ca="1" si="11"/>
        <v>Port Harcourt</v>
      </c>
      <c r="F78">
        <f t="shared" ca="1" si="12"/>
        <v>3</v>
      </c>
      <c r="G78">
        <f t="shared" ca="1" si="13"/>
        <v>2000</v>
      </c>
      <c r="H78">
        <f t="shared" ca="1" si="14"/>
        <v>6000</v>
      </c>
    </row>
    <row r="79" spans="1:8">
      <c r="A79" s="2">
        <f t="shared" ca="1" si="8"/>
        <v>45664</v>
      </c>
      <c r="B79" s="3">
        <f t="shared" si="15"/>
        <v>1078</v>
      </c>
      <c r="C79" s="4" t="str">
        <f t="shared" ca="1" si="9"/>
        <v>Milk</v>
      </c>
      <c r="D79" s="4" t="str">
        <f t="shared" ca="1" si="10"/>
        <v>Household</v>
      </c>
      <c r="E79" t="str">
        <f t="shared" ca="1" si="11"/>
        <v>Ibadan</v>
      </c>
      <c r="F79">
        <f t="shared" ca="1" si="12"/>
        <v>19</v>
      </c>
      <c r="G79">
        <f t="shared" ca="1" si="13"/>
        <v>600</v>
      </c>
      <c r="H79">
        <f t="shared" ca="1" si="14"/>
        <v>11400</v>
      </c>
    </row>
    <row r="80" spans="1:8">
      <c r="A80" s="2">
        <f t="shared" ca="1" si="8"/>
        <v>45666</v>
      </c>
      <c r="B80" s="3">
        <f t="shared" si="15"/>
        <v>1079</v>
      </c>
      <c r="C80" s="4" t="str">
        <f t="shared" ca="1" si="9"/>
        <v>Noodles</v>
      </c>
      <c r="D80" s="4" t="str">
        <f t="shared" ca="1" si="10"/>
        <v>Household</v>
      </c>
      <c r="E80" t="str">
        <f t="shared" ca="1" si="11"/>
        <v>Abuja</v>
      </c>
      <c r="F80">
        <f t="shared" ca="1" si="12"/>
        <v>14</v>
      </c>
      <c r="G80">
        <f t="shared" ca="1" si="13"/>
        <v>5600</v>
      </c>
      <c r="H80">
        <f t="shared" ca="1" si="14"/>
        <v>78400</v>
      </c>
    </row>
    <row r="81" spans="1:8">
      <c r="A81" s="2">
        <f t="shared" ca="1" si="8"/>
        <v>45669</v>
      </c>
      <c r="B81" s="3">
        <f t="shared" si="15"/>
        <v>1080</v>
      </c>
      <c r="C81" s="4" t="str">
        <f t="shared" ca="1" si="9"/>
        <v>Rice</v>
      </c>
      <c r="D81" s="4" t="str">
        <f t="shared" ca="1" si="10"/>
        <v>Household</v>
      </c>
      <c r="E81" t="str">
        <f t="shared" ca="1" si="11"/>
        <v>Kano</v>
      </c>
      <c r="F81">
        <f t="shared" ca="1" si="12"/>
        <v>19</v>
      </c>
      <c r="G81">
        <f t="shared" ca="1" si="13"/>
        <v>4300</v>
      </c>
      <c r="H81">
        <f t="shared" ca="1" si="14"/>
        <v>81700</v>
      </c>
    </row>
    <row r="82" spans="1:8">
      <c r="A82" s="2">
        <f t="shared" ca="1" si="8"/>
        <v>45671</v>
      </c>
      <c r="B82" s="3">
        <f t="shared" si="15"/>
        <v>1081</v>
      </c>
      <c r="C82" s="4" t="str">
        <f t="shared" ca="1" si="9"/>
        <v>Cooking Oil</v>
      </c>
      <c r="D82" s="4" t="str">
        <f t="shared" ca="1" si="10"/>
        <v>Beverage</v>
      </c>
      <c r="E82" t="str">
        <f t="shared" ca="1" si="11"/>
        <v>Ibadan</v>
      </c>
      <c r="F82">
        <f t="shared" ca="1" si="12"/>
        <v>18</v>
      </c>
      <c r="G82">
        <f t="shared" ca="1" si="13"/>
        <v>1200</v>
      </c>
      <c r="H82">
        <f t="shared" ca="1" si="14"/>
        <v>21600</v>
      </c>
    </row>
    <row r="83" spans="1:8">
      <c r="A83" s="2">
        <f t="shared" ca="1" si="8"/>
        <v>45675</v>
      </c>
      <c r="B83" s="3">
        <f t="shared" si="15"/>
        <v>1082</v>
      </c>
      <c r="C83" s="4" t="str">
        <f t="shared" ca="1" si="9"/>
        <v>Milk</v>
      </c>
      <c r="D83" s="4" t="str">
        <f t="shared" ca="1" si="10"/>
        <v>Food</v>
      </c>
      <c r="E83" t="str">
        <f t="shared" ca="1" si="11"/>
        <v>Kano</v>
      </c>
      <c r="F83">
        <f t="shared" ca="1" si="12"/>
        <v>11</v>
      </c>
      <c r="G83">
        <f t="shared" ca="1" si="13"/>
        <v>1400</v>
      </c>
      <c r="H83">
        <f t="shared" ca="1" si="14"/>
        <v>15400</v>
      </c>
    </row>
    <row r="84" spans="1:8">
      <c r="A84" s="2">
        <f t="shared" ca="1" si="8"/>
        <v>45666</v>
      </c>
      <c r="B84" s="3">
        <f t="shared" si="15"/>
        <v>1083</v>
      </c>
      <c r="C84" s="4" t="str">
        <f t="shared" ca="1" si="9"/>
        <v>Soft Drink</v>
      </c>
      <c r="D84" s="4" t="str">
        <f t="shared" ca="1" si="10"/>
        <v>Household</v>
      </c>
      <c r="E84" t="str">
        <f t="shared" ca="1" si="11"/>
        <v>Ibadan</v>
      </c>
      <c r="F84">
        <f t="shared" ca="1" si="12"/>
        <v>11</v>
      </c>
      <c r="G84">
        <f t="shared" ca="1" si="13"/>
        <v>6900</v>
      </c>
      <c r="H84">
        <f t="shared" ca="1" si="14"/>
        <v>75900</v>
      </c>
    </row>
    <row r="85" spans="1:8">
      <c r="A85" s="2">
        <f t="shared" ca="1" si="8"/>
        <v>45679</v>
      </c>
      <c r="B85" s="3">
        <f t="shared" si="15"/>
        <v>1084</v>
      </c>
      <c r="C85" s="4" t="str">
        <f t="shared" ca="1" si="9"/>
        <v>Rice</v>
      </c>
      <c r="D85" s="4" t="str">
        <f t="shared" ca="1" si="10"/>
        <v>Household</v>
      </c>
      <c r="E85" t="str">
        <f t="shared" ca="1" si="11"/>
        <v>Lagos</v>
      </c>
      <c r="F85">
        <f t="shared" ca="1" si="12"/>
        <v>9</v>
      </c>
      <c r="G85">
        <f t="shared" ca="1" si="13"/>
        <v>5400</v>
      </c>
      <c r="H85">
        <f t="shared" ca="1" si="14"/>
        <v>48600</v>
      </c>
    </row>
    <row r="86" spans="1:8">
      <c r="A86" s="2">
        <f t="shared" ca="1" si="8"/>
        <v>45674</v>
      </c>
      <c r="B86" s="3">
        <f t="shared" si="15"/>
        <v>1085</v>
      </c>
      <c r="C86" s="4" t="str">
        <f t="shared" ca="1" si="9"/>
        <v>Cooking Oil</v>
      </c>
      <c r="D86" s="4" t="str">
        <f t="shared" ca="1" si="10"/>
        <v>Household</v>
      </c>
      <c r="E86" t="str">
        <f t="shared" ca="1" si="11"/>
        <v>Lagos</v>
      </c>
      <c r="F86">
        <f t="shared" ca="1" si="12"/>
        <v>9</v>
      </c>
      <c r="G86">
        <f t="shared" ca="1" si="13"/>
        <v>6400</v>
      </c>
      <c r="H86">
        <f t="shared" ca="1" si="14"/>
        <v>57600</v>
      </c>
    </row>
    <row r="87" spans="1:8">
      <c r="A87" s="2">
        <f t="shared" ca="1" si="8"/>
        <v>45675</v>
      </c>
      <c r="B87" s="3">
        <f t="shared" si="15"/>
        <v>1086</v>
      </c>
      <c r="C87" s="4" t="str">
        <f t="shared" ca="1" si="9"/>
        <v>Bread</v>
      </c>
      <c r="D87" s="4" t="str">
        <f t="shared" ca="1" si="10"/>
        <v>Beverage</v>
      </c>
      <c r="E87" t="str">
        <f t="shared" ca="1" si="11"/>
        <v>Ibadan</v>
      </c>
      <c r="F87">
        <f t="shared" ca="1" si="12"/>
        <v>11</v>
      </c>
      <c r="G87">
        <f t="shared" ca="1" si="13"/>
        <v>4200</v>
      </c>
      <c r="H87">
        <f t="shared" ca="1" si="14"/>
        <v>46200</v>
      </c>
    </row>
    <row r="88" spans="1:8">
      <c r="A88" s="2">
        <f t="shared" ca="1" si="8"/>
        <v>45672</v>
      </c>
      <c r="B88" s="3">
        <f t="shared" si="15"/>
        <v>1087</v>
      </c>
      <c r="C88" s="4" t="str">
        <f t="shared" ca="1" si="9"/>
        <v>Bread</v>
      </c>
      <c r="D88" s="4" t="str">
        <f t="shared" ca="1" si="10"/>
        <v>Beverage</v>
      </c>
      <c r="E88" t="str">
        <f t="shared" ca="1" si="11"/>
        <v>Port Harcourt</v>
      </c>
      <c r="F88">
        <f t="shared" ca="1" si="12"/>
        <v>2</v>
      </c>
      <c r="G88">
        <f t="shared" ca="1" si="13"/>
        <v>1900</v>
      </c>
      <c r="H88">
        <f t="shared" ca="1" si="14"/>
        <v>3800</v>
      </c>
    </row>
    <row r="89" spans="1:8">
      <c r="A89" s="2">
        <f t="shared" ca="1" si="8"/>
        <v>45675</v>
      </c>
      <c r="B89" s="3">
        <f t="shared" si="15"/>
        <v>1088</v>
      </c>
      <c r="C89" s="4" t="str">
        <f t="shared" ca="1" si="9"/>
        <v>Cooking Oil</v>
      </c>
      <c r="D89" s="4" t="str">
        <f t="shared" ca="1" si="10"/>
        <v>Beverage</v>
      </c>
      <c r="E89" t="str">
        <f t="shared" ca="1" si="11"/>
        <v>Lagos</v>
      </c>
      <c r="F89">
        <f t="shared" ca="1" si="12"/>
        <v>12</v>
      </c>
      <c r="G89">
        <f t="shared" ca="1" si="13"/>
        <v>4700</v>
      </c>
      <c r="H89">
        <f t="shared" ca="1" si="14"/>
        <v>56400</v>
      </c>
    </row>
    <row r="90" spans="1:8">
      <c r="A90" s="2">
        <f t="shared" ca="1" si="8"/>
        <v>45670</v>
      </c>
      <c r="B90" s="3">
        <f t="shared" si="15"/>
        <v>1089</v>
      </c>
      <c r="C90" s="4" t="str">
        <f t="shared" ca="1" si="9"/>
        <v>Soft Drink</v>
      </c>
      <c r="D90" s="4" t="str">
        <f t="shared" ca="1" si="10"/>
        <v>Food</v>
      </c>
      <c r="E90" t="str">
        <f t="shared" ca="1" si="11"/>
        <v>Ibadan</v>
      </c>
      <c r="F90">
        <f t="shared" ca="1" si="12"/>
        <v>19</v>
      </c>
      <c r="G90">
        <f t="shared" ca="1" si="13"/>
        <v>2600</v>
      </c>
      <c r="H90">
        <f t="shared" ca="1" si="14"/>
        <v>49400</v>
      </c>
    </row>
    <row r="91" spans="1:8">
      <c r="A91" s="2">
        <f t="shared" ca="1" si="8"/>
        <v>45669</v>
      </c>
      <c r="B91" s="3">
        <f t="shared" si="15"/>
        <v>1090</v>
      </c>
      <c r="C91" s="4" t="str">
        <f t="shared" ca="1" si="9"/>
        <v>Bread</v>
      </c>
      <c r="D91" s="4" t="str">
        <f t="shared" ca="1" si="10"/>
        <v>Food</v>
      </c>
      <c r="E91" t="str">
        <f t="shared" ca="1" si="11"/>
        <v>Port Harcourt</v>
      </c>
      <c r="F91">
        <f t="shared" ca="1" si="12"/>
        <v>19</v>
      </c>
      <c r="G91">
        <f t="shared" ca="1" si="13"/>
        <v>6600</v>
      </c>
      <c r="H91">
        <f t="shared" ca="1" si="14"/>
        <v>125400</v>
      </c>
    </row>
    <row r="92" spans="1:8">
      <c r="A92" s="2">
        <f t="shared" ca="1" si="8"/>
        <v>45660</v>
      </c>
      <c r="B92" s="3">
        <f t="shared" si="15"/>
        <v>1091</v>
      </c>
      <c r="C92" s="4" t="str">
        <f t="shared" ca="1" si="9"/>
        <v>Milk</v>
      </c>
      <c r="D92" s="4" t="str">
        <f t="shared" ca="1" si="10"/>
        <v>Food</v>
      </c>
      <c r="E92" t="str">
        <f t="shared" ca="1" si="11"/>
        <v>Port Harcourt</v>
      </c>
      <c r="F92">
        <f t="shared" ca="1" si="12"/>
        <v>5</v>
      </c>
      <c r="G92">
        <f t="shared" ca="1" si="13"/>
        <v>3400</v>
      </c>
      <c r="H92">
        <f t="shared" ca="1" si="14"/>
        <v>17000</v>
      </c>
    </row>
    <row r="93" spans="1:8">
      <c r="A93" s="2">
        <f t="shared" ca="1" si="8"/>
        <v>45680</v>
      </c>
      <c r="B93" s="3">
        <f t="shared" si="15"/>
        <v>1092</v>
      </c>
      <c r="C93" s="4" t="str">
        <f t="shared" ca="1" si="9"/>
        <v>Cooking Oil</v>
      </c>
      <c r="D93" s="4" t="str">
        <f t="shared" ca="1" si="10"/>
        <v>Beverage</v>
      </c>
      <c r="E93" t="str">
        <f t="shared" ca="1" si="11"/>
        <v>Ibadan</v>
      </c>
      <c r="F93">
        <f t="shared" ca="1" si="12"/>
        <v>9</v>
      </c>
      <c r="G93">
        <f t="shared" ca="1" si="13"/>
        <v>3700</v>
      </c>
      <c r="H93">
        <f t="shared" ca="1" si="14"/>
        <v>33300</v>
      </c>
    </row>
    <row r="94" spans="1:8">
      <c r="A94" s="2">
        <f t="shared" ca="1" si="8"/>
        <v>45680</v>
      </c>
      <c r="B94" s="3">
        <f t="shared" si="15"/>
        <v>1093</v>
      </c>
      <c r="C94" s="4" t="str">
        <f t="shared" ca="1" si="9"/>
        <v>Rice</v>
      </c>
      <c r="D94" s="4" t="str">
        <f t="shared" ca="1" si="10"/>
        <v>Household</v>
      </c>
      <c r="E94" t="str">
        <f t="shared" ca="1" si="11"/>
        <v>Ibadan</v>
      </c>
      <c r="F94">
        <f t="shared" ca="1" si="12"/>
        <v>18</v>
      </c>
      <c r="G94">
        <f t="shared" ca="1" si="13"/>
        <v>5600</v>
      </c>
      <c r="H94">
        <f t="shared" ca="1" si="14"/>
        <v>100800</v>
      </c>
    </row>
    <row r="95" spans="1:8">
      <c r="A95" s="2">
        <f t="shared" ca="1" si="8"/>
        <v>45660</v>
      </c>
      <c r="B95" s="3">
        <f t="shared" si="15"/>
        <v>1094</v>
      </c>
      <c r="C95" s="4" t="str">
        <f t="shared" ca="1" si="9"/>
        <v>Milk</v>
      </c>
      <c r="D95" s="4" t="str">
        <f t="shared" ca="1" si="10"/>
        <v>Household</v>
      </c>
      <c r="E95" t="str">
        <f t="shared" ca="1" si="11"/>
        <v>Ibadan</v>
      </c>
      <c r="F95">
        <f t="shared" ca="1" si="12"/>
        <v>7</v>
      </c>
      <c r="G95">
        <f t="shared" ca="1" si="13"/>
        <v>2700</v>
      </c>
      <c r="H95">
        <f t="shared" ca="1" si="14"/>
        <v>18900</v>
      </c>
    </row>
    <row r="96" spans="1:8">
      <c r="A96" s="2">
        <f t="shared" ca="1" si="8"/>
        <v>45675</v>
      </c>
      <c r="B96" s="3">
        <f t="shared" si="15"/>
        <v>1095</v>
      </c>
      <c r="C96" s="4" t="str">
        <f t="shared" ca="1" si="9"/>
        <v>Soft Drink</v>
      </c>
      <c r="D96" s="4" t="str">
        <f t="shared" ca="1" si="10"/>
        <v>Beverage</v>
      </c>
      <c r="E96" t="str">
        <f t="shared" ca="1" si="11"/>
        <v>Kano</v>
      </c>
      <c r="F96">
        <f t="shared" ca="1" si="12"/>
        <v>20</v>
      </c>
      <c r="G96">
        <f t="shared" ca="1" si="13"/>
        <v>1300</v>
      </c>
      <c r="H96">
        <f t="shared" ca="1" si="14"/>
        <v>26000</v>
      </c>
    </row>
    <row r="97" spans="1:8">
      <c r="A97" s="2">
        <f t="shared" ca="1" si="8"/>
        <v>45676</v>
      </c>
      <c r="B97" s="3">
        <f t="shared" si="15"/>
        <v>1096</v>
      </c>
      <c r="C97" s="4" t="str">
        <f t="shared" ca="1" si="9"/>
        <v>Noodles</v>
      </c>
      <c r="D97" s="4" t="str">
        <f t="shared" ca="1" si="10"/>
        <v>Food</v>
      </c>
      <c r="E97" t="str">
        <f t="shared" ca="1" si="11"/>
        <v>Ibadan</v>
      </c>
      <c r="F97">
        <f t="shared" ca="1" si="12"/>
        <v>20</v>
      </c>
      <c r="G97">
        <f t="shared" ca="1" si="13"/>
        <v>900</v>
      </c>
      <c r="H97">
        <f t="shared" ca="1" si="14"/>
        <v>18000</v>
      </c>
    </row>
    <row r="98" spans="1:8">
      <c r="A98" s="2">
        <f t="shared" ca="1" si="8"/>
        <v>45674</v>
      </c>
      <c r="B98" s="3">
        <f t="shared" si="15"/>
        <v>1097</v>
      </c>
      <c r="C98" s="4" t="str">
        <f t="shared" ca="1" si="9"/>
        <v>Sugar</v>
      </c>
      <c r="D98" s="4" t="str">
        <f t="shared" ca="1" si="10"/>
        <v>Beverage</v>
      </c>
      <c r="E98" t="str">
        <f t="shared" ca="1" si="11"/>
        <v>Kano</v>
      </c>
      <c r="F98">
        <f t="shared" ca="1" si="12"/>
        <v>12</v>
      </c>
      <c r="G98">
        <f t="shared" ca="1" si="13"/>
        <v>4800</v>
      </c>
      <c r="H98">
        <f t="shared" ca="1" si="14"/>
        <v>57600</v>
      </c>
    </row>
    <row r="99" spans="1:8">
      <c r="A99" s="2">
        <f t="shared" ca="1" si="8"/>
        <v>45679</v>
      </c>
      <c r="B99" s="3">
        <f t="shared" si="15"/>
        <v>1098</v>
      </c>
      <c r="C99" s="4" t="str">
        <f t="shared" ca="1" si="9"/>
        <v>Noodles</v>
      </c>
      <c r="D99" s="4" t="str">
        <f t="shared" ca="1" si="10"/>
        <v>Food</v>
      </c>
      <c r="E99" t="str">
        <f t="shared" ca="1" si="11"/>
        <v>Ibadan</v>
      </c>
      <c r="F99">
        <f t="shared" ca="1" si="12"/>
        <v>19</v>
      </c>
      <c r="G99">
        <f t="shared" ca="1" si="13"/>
        <v>2300</v>
      </c>
      <c r="H99">
        <f t="shared" ca="1" si="14"/>
        <v>43700</v>
      </c>
    </row>
    <row r="100" spans="1:8">
      <c r="A100" s="2">
        <f t="shared" ca="1" si="8"/>
        <v>45665</v>
      </c>
      <c r="B100" s="3">
        <f t="shared" si="15"/>
        <v>1099</v>
      </c>
      <c r="C100" s="4" t="str">
        <f t="shared" ca="1" si="9"/>
        <v>Milk</v>
      </c>
      <c r="D100" s="4" t="str">
        <f t="shared" ca="1" si="10"/>
        <v>Food</v>
      </c>
      <c r="E100" t="str">
        <f t="shared" ca="1" si="11"/>
        <v>Port Harcourt</v>
      </c>
      <c r="F100">
        <f t="shared" ca="1" si="12"/>
        <v>18</v>
      </c>
      <c r="G100">
        <f t="shared" ca="1" si="13"/>
        <v>1500</v>
      </c>
      <c r="H100">
        <f t="shared" ca="1" si="14"/>
        <v>27000</v>
      </c>
    </row>
    <row r="101" spans="1:8">
      <c r="A101" s="2">
        <f t="shared" ca="1" si="8"/>
        <v>45666</v>
      </c>
      <c r="B101" s="3">
        <f t="shared" si="15"/>
        <v>1100</v>
      </c>
      <c r="C101" s="4" t="str">
        <f t="shared" ca="1" si="9"/>
        <v>Milk</v>
      </c>
      <c r="D101" s="4" t="str">
        <f t="shared" ca="1" si="10"/>
        <v>Food</v>
      </c>
      <c r="E101" t="str">
        <f t="shared" ca="1" si="11"/>
        <v>Port Harcourt</v>
      </c>
      <c r="F101">
        <f t="shared" ca="1" si="12"/>
        <v>20</v>
      </c>
      <c r="G101">
        <f t="shared" ca="1" si="13"/>
        <v>6200</v>
      </c>
      <c r="H101">
        <f t="shared" ca="1" si="14"/>
        <v>124000</v>
      </c>
    </row>
    <row r="102" spans="1:8">
      <c r="A102" s="2">
        <f t="shared" ca="1" si="8"/>
        <v>45677</v>
      </c>
      <c r="B102" s="3">
        <f t="shared" si="15"/>
        <v>1101</v>
      </c>
      <c r="C102" s="4" t="str">
        <f t="shared" ca="1" si="9"/>
        <v>Cooking Oil</v>
      </c>
      <c r="D102" s="4" t="str">
        <f t="shared" ca="1" si="10"/>
        <v>Beverage</v>
      </c>
      <c r="E102" t="str">
        <f t="shared" ca="1" si="11"/>
        <v>Lagos</v>
      </c>
      <c r="F102">
        <f t="shared" ca="1" si="12"/>
        <v>9</v>
      </c>
      <c r="G102">
        <f t="shared" ca="1" si="13"/>
        <v>6000</v>
      </c>
      <c r="H102">
        <f t="shared" ca="1" si="14"/>
        <v>54000</v>
      </c>
    </row>
    <row r="103" spans="1:8">
      <c r="A103" s="2">
        <f t="shared" ca="1" si="8"/>
        <v>45669</v>
      </c>
      <c r="B103" s="3">
        <f t="shared" si="15"/>
        <v>1102</v>
      </c>
      <c r="C103" s="4" t="str">
        <f t="shared" ca="1" si="9"/>
        <v>Milk</v>
      </c>
      <c r="D103" s="4" t="str">
        <f t="shared" ca="1" si="10"/>
        <v>Beverage</v>
      </c>
      <c r="E103" t="str">
        <f t="shared" ca="1" si="11"/>
        <v>Lagos</v>
      </c>
      <c r="F103">
        <f t="shared" ca="1" si="12"/>
        <v>14</v>
      </c>
      <c r="G103">
        <f t="shared" ca="1" si="13"/>
        <v>3900</v>
      </c>
      <c r="H103">
        <f t="shared" ca="1" si="14"/>
        <v>54600</v>
      </c>
    </row>
    <row r="104" spans="1:8">
      <c r="A104" s="2">
        <f t="shared" ca="1" si="8"/>
        <v>45685</v>
      </c>
      <c r="B104" s="3">
        <f t="shared" si="15"/>
        <v>1103</v>
      </c>
      <c r="C104" s="4" t="str">
        <f t="shared" ca="1" si="9"/>
        <v>Beans</v>
      </c>
      <c r="D104" s="4" t="str">
        <f t="shared" ca="1" si="10"/>
        <v>Food</v>
      </c>
      <c r="E104" t="str">
        <f t="shared" ca="1" si="11"/>
        <v>Port Harcourt</v>
      </c>
      <c r="F104">
        <f t="shared" ca="1" si="12"/>
        <v>8</v>
      </c>
      <c r="G104">
        <f t="shared" ca="1" si="13"/>
        <v>4800</v>
      </c>
      <c r="H104">
        <f t="shared" ca="1" si="14"/>
        <v>38400</v>
      </c>
    </row>
    <row r="105" spans="1:8">
      <c r="A105" s="2">
        <f t="shared" ca="1" si="8"/>
        <v>45667</v>
      </c>
      <c r="B105" s="3">
        <f t="shared" si="15"/>
        <v>1104</v>
      </c>
      <c r="C105" s="4" t="str">
        <f t="shared" ca="1" si="9"/>
        <v>Soft Drink</v>
      </c>
      <c r="D105" s="4" t="str">
        <f t="shared" ca="1" si="10"/>
        <v>Household</v>
      </c>
      <c r="E105" t="str">
        <f t="shared" ca="1" si="11"/>
        <v>Ibadan</v>
      </c>
      <c r="F105">
        <f t="shared" ca="1" si="12"/>
        <v>12</v>
      </c>
      <c r="G105">
        <f t="shared" ca="1" si="13"/>
        <v>4000</v>
      </c>
      <c r="H105">
        <f t="shared" ca="1" si="14"/>
        <v>48000</v>
      </c>
    </row>
    <row r="106" spans="1:8">
      <c r="A106" s="2">
        <f t="shared" ca="1" si="8"/>
        <v>45671</v>
      </c>
      <c r="B106" s="3">
        <f t="shared" si="15"/>
        <v>1105</v>
      </c>
      <c r="C106" s="4" t="str">
        <f t="shared" ca="1" si="9"/>
        <v>Milk</v>
      </c>
      <c r="D106" s="4" t="str">
        <f t="shared" ca="1" si="10"/>
        <v>Household</v>
      </c>
      <c r="E106" t="str">
        <f t="shared" ca="1" si="11"/>
        <v>Port Harcourt</v>
      </c>
      <c r="F106">
        <f t="shared" ca="1" si="12"/>
        <v>4</v>
      </c>
      <c r="G106">
        <f t="shared" ca="1" si="13"/>
        <v>6900</v>
      </c>
      <c r="H106">
        <f t="shared" ca="1" si="14"/>
        <v>27600</v>
      </c>
    </row>
    <row r="107" spans="1:8">
      <c r="A107" s="2">
        <f t="shared" ca="1" si="8"/>
        <v>45676</v>
      </c>
      <c r="B107" s="3">
        <f t="shared" si="15"/>
        <v>1106</v>
      </c>
      <c r="C107" s="4" t="str">
        <f t="shared" ca="1" si="9"/>
        <v>Noodles</v>
      </c>
      <c r="D107" s="4" t="str">
        <f t="shared" ca="1" si="10"/>
        <v>Beverage</v>
      </c>
      <c r="E107" t="str">
        <f t="shared" ca="1" si="11"/>
        <v>Port Harcourt</v>
      </c>
      <c r="F107">
        <f t="shared" ca="1" si="12"/>
        <v>19</v>
      </c>
      <c r="G107">
        <f t="shared" ca="1" si="13"/>
        <v>3200</v>
      </c>
      <c r="H107">
        <f t="shared" ca="1" si="14"/>
        <v>60800</v>
      </c>
    </row>
    <row r="108" spans="1:8">
      <c r="A108" s="2">
        <f t="shared" ca="1" si="8"/>
        <v>45669</v>
      </c>
      <c r="B108" s="3">
        <f t="shared" si="15"/>
        <v>1107</v>
      </c>
      <c r="C108" s="4" t="str">
        <f t="shared" ca="1" si="9"/>
        <v>Milk</v>
      </c>
      <c r="D108" s="4" t="str">
        <f t="shared" ca="1" si="10"/>
        <v>Household</v>
      </c>
      <c r="E108" t="str">
        <f t="shared" ca="1" si="11"/>
        <v>Abuja</v>
      </c>
      <c r="F108">
        <f t="shared" ca="1" si="12"/>
        <v>6</v>
      </c>
      <c r="G108">
        <f t="shared" ca="1" si="13"/>
        <v>1700</v>
      </c>
      <c r="H108">
        <f t="shared" ca="1" si="14"/>
        <v>10200</v>
      </c>
    </row>
    <row r="109" spans="1:8">
      <c r="A109" s="2">
        <f t="shared" ca="1" si="8"/>
        <v>45673</v>
      </c>
      <c r="B109" s="3">
        <f t="shared" si="15"/>
        <v>1108</v>
      </c>
      <c r="C109" s="4" t="str">
        <f t="shared" ca="1" si="9"/>
        <v>Soft Drink</v>
      </c>
      <c r="D109" s="4" t="str">
        <f t="shared" ca="1" si="10"/>
        <v>Beverage</v>
      </c>
      <c r="E109" t="str">
        <f t="shared" ca="1" si="11"/>
        <v>Abuja</v>
      </c>
      <c r="F109">
        <f t="shared" ca="1" si="12"/>
        <v>13</v>
      </c>
      <c r="G109">
        <f t="shared" ca="1" si="13"/>
        <v>4700</v>
      </c>
      <c r="H109">
        <f t="shared" ca="1" si="14"/>
        <v>61100</v>
      </c>
    </row>
    <row r="110" spans="1:8">
      <c r="A110" s="2">
        <f t="shared" ca="1" si="8"/>
        <v>45663</v>
      </c>
      <c r="B110" s="3">
        <f t="shared" si="15"/>
        <v>1109</v>
      </c>
      <c r="C110" s="4" t="str">
        <f t="shared" ca="1" si="9"/>
        <v>Beans</v>
      </c>
      <c r="D110" s="4" t="str">
        <f t="shared" ca="1" si="10"/>
        <v>Beverage</v>
      </c>
      <c r="E110" t="str">
        <f t="shared" ca="1" si="11"/>
        <v>Port Harcourt</v>
      </c>
      <c r="F110">
        <f t="shared" ca="1" si="12"/>
        <v>8</v>
      </c>
      <c r="G110">
        <f t="shared" ca="1" si="13"/>
        <v>3700</v>
      </c>
      <c r="H110">
        <f t="shared" ca="1" si="14"/>
        <v>29600</v>
      </c>
    </row>
    <row r="111" spans="1:8">
      <c r="A111" s="2">
        <f t="shared" ca="1" si="8"/>
        <v>45685</v>
      </c>
      <c r="B111" s="3">
        <f t="shared" si="15"/>
        <v>1110</v>
      </c>
      <c r="C111" s="4" t="str">
        <f t="shared" ca="1" si="9"/>
        <v>Sugar</v>
      </c>
      <c r="D111" s="4" t="str">
        <f t="shared" ca="1" si="10"/>
        <v>Food</v>
      </c>
      <c r="E111" t="str">
        <f t="shared" ca="1" si="11"/>
        <v>Abuja</v>
      </c>
      <c r="F111">
        <f t="shared" ca="1" si="12"/>
        <v>14</v>
      </c>
      <c r="G111">
        <f t="shared" ca="1" si="13"/>
        <v>4600</v>
      </c>
      <c r="H111">
        <f t="shared" ca="1" si="14"/>
        <v>64400</v>
      </c>
    </row>
    <row r="112" spans="1:8">
      <c r="A112" s="2">
        <f t="shared" ca="1" si="8"/>
        <v>45664</v>
      </c>
      <c r="B112" s="3">
        <f t="shared" si="15"/>
        <v>1111</v>
      </c>
      <c r="C112" s="4" t="str">
        <f t="shared" ca="1" si="9"/>
        <v>Cooking Oil</v>
      </c>
      <c r="D112" s="4" t="str">
        <f t="shared" ca="1" si="10"/>
        <v>Beverage</v>
      </c>
      <c r="E112" t="str">
        <f t="shared" ca="1" si="11"/>
        <v>Abuja</v>
      </c>
      <c r="F112">
        <f t="shared" ca="1" si="12"/>
        <v>19</v>
      </c>
      <c r="G112">
        <f t="shared" ca="1" si="13"/>
        <v>1200</v>
      </c>
      <c r="H112">
        <f t="shared" ca="1" si="14"/>
        <v>22800</v>
      </c>
    </row>
    <row r="113" spans="1:8">
      <c r="A113" s="2">
        <f t="shared" ca="1" si="8"/>
        <v>45662</v>
      </c>
      <c r="B113" s="3">
        <f t="shared" si="15"/>
        <v>1112</v>
      </c>
      <c r="C113" s="4" t="str">
        <f t="shared" ca="1" si="9"/>
        <v>Noodles</v>
      </c>
      <c r="D113" s="4" t="str">
        <f t="shared" ca="1" si="10"/>
        <v>Household</v>
      </c>
      <c r="E113" t="str">
        <f t="shared" ca="1" si="11"/>
        <v>Ibadan</v>
      </c>
      <c r="F113">
        <f t="shared" ca="1" si="12"/>
        <v>7</v>
      </c>
      <c r="G113">
        <f t="shared" ca="1" si="13"/>
        <v>4900</v>
      </c>
      <c r="H113">
        <f t="shared" ca="1" si="14"/>
        <v>34300</v>
      </c>
    </row>
    <row r="114" spans="1:8">
      <c r="A114" s="2">
        <f t="shared" ca="1" si="8"/>
        <v>45670</v>
      </c>
      <c r="B114" s="3">
        <f t="shared" si="15"/>
        <v>1113</v>
      </c>
      <c r="C114" s="4" t="str">
        <f t="shared" ca="1" si="9"/>
        <v>Sugar</v>
      </c>
      <c r="D114" s="4" t="str">
        <f t="shared" ca="1" si="10"/>
        <v>Beverage</v>
      </c>
      <c r="E114" t="str">
        <f t="shared" ca="1" si="11"/>
        <v>Ibadan</v>
      </c>
      <c r="F114">
        <f t="shared" ca="1" si="12"/>
        <v>2</v>
      </c>
      <c r="G114">
        <f t="shared" ca="1" si="13"/>
        <v>900</v>
      </c>
      <c r="H114">
        <f t="shared" ca="1" si="14"/>
        <v>1800</v>
      </c>
    </row>
    <row r="115" spans="1:8">
      <c r="A115" s="2">
        <f t="shared" ca="1" si="8"/>
        <v>45679</v>
      </c>
      <c r="B115" s="3">
        <f t="shared" si="15"/>
        <v>1114</v>
      </c>
      <c r="C115" s="4" t="str">
        <f t="shared" ca="1" si="9"/>
        <v>Bread</v>
      </c>
      <c r="D115" s="4" t="str">
        <f t="shared" ca="1" si="10"/>
        <v>Food</v>
      </c>
      <c r="E115" t="str">
        <f t="shared" ca="1" si="11"/>
        <v>Ibadan</v>
      </c>
      <c r="F115">
        <f t="shared" ca="1" si="12"/>
        <v>5</v>
      </c>
      <c r="G115">
        <f t="shared" ca="1" si="13"/>
        <v>6500</v>
      </c>
      <c r="H115">
        <f t="shared" ca="1" si="14"/>
        <v>32500</v>
      </c>
    </row>
    <row r="116" spans="1:8">
      <c r="A116" s="2">
        <f t="shared" ca="1" si="8"/>
        <v>45658</v>
      </c>
      <c r="B116" s="3">
        <f t="shared" si="15"/>
        <v>1115</v>
      </c>
      <c r="C116" s="4" t="str">
        <f t="shared" ca="1" si="9"/>
        <v>Rice</v>
      </c>
      <c r="D116" s="4" t="str">
        <f t="shared" ca="1" si="10"/>
        <v>Beverage</v>
      </c>
      <c r="E116" t="str">
        <f t="shared" ca="1" si="11"/>
        <v>Lagos</v>
      </c>
      <c r="F116">
        <f t="shared" ca="1" si="12"/>
        <v>9</v>
      </c>
      <c r="G116">
        <f t="shared" ca="1" si="13"/>
        <v>1900</v>
      </c>
      <c r="H116">
        <f t="shared" ca="1" si="14"/>
        <v>17100</v>
      </c>
    </row>
    <row r="117" spans="1:8">
      <c r="A117" s="2">
        <f t="shared" ca="1" si="8"/>
        <v>45663</v>
      </c>
      <c r="B117" s="3">
        <f t="shared" si="15"/>
        <v>1116</v>
      </c>
      <c r="C117" s="4" t="str">
        <f t="shared" ca="1" si="9"/>
        <v>Cooking Oil</v>
      </c>
      <c r="D117" s="4" t="str">
        <f t="shared" ca="1" si="10"/>
        <v>Household</v>
      </c>
      <c r="E117" t="str">
        <f t="shared" ca="1" si="11"/>
        <v>Lagos</v>
      </c>
      <c r="F117">
        <f t="shared" ca="1" si="12"/>
        <v>17</v>
      </c>
      <c r="G117">
        <f t="shared" ca="1" si="13"/>
        <v>2400</v>
      </c>
      <c r="H117">
        <f t="shared" ca="1" si="14"/>
        <v>40800</v>
      </c>
    </row>
    <row r="118" spans="1:8">
      <c r="A118" s="2">
        <f t="shared" ca="1" si="8"/>
        <v>45660</v>
      </c>
      <c r="B118" s="3">
        <f t="shared" si="15"/>
        <v>1117</v>
      </c>
      <c r="C118" s="4" t="str">
        <f t="shared" ca="1" si="9"/>
        <v>Rice</v>
      </c>
      <c r="D118" s="4" t="str">
        <f t="shared" ca="1" si="10"/>
        <v>Beverage</v>
      </c>
      <c r="E118" t="str">
        <f t="shared" ca="1" si="11"/>
        <v>Lagos</v>
      </c>
      <c r="F118">
        <f t="shared" ca="1" si="12"/>
        <v>9</v>
      </c>
      <c r="G118">
        <f t="shared" ca="1" si="13"/>
        <v>4900</v>
      </c>
      <c r="H118">
        <f t="shared" ca="1" si="14"/>
        <v>44100</v>
      </c>
    </row>
    <row r="119" spans="1:8">
      <c r="A119" s="2">
        <f t="shared" ca="1" si="8"/>
        <v>45664</v>
      </c>
      <c r="B119" s="3">
        <f t="shared" si="15"/>
        <v>1118</v>
      </c>
      <c r="C119" s="4" t="str">
        <f t="shared" ca="1" si="9"/>
        <v>Bread</v>
      </c>
      <c r="D119" s="4" t="str">
        <f t="shared" ca="1" si="10"/>
        <v>Food</v>
      </c>
      <c r="E119" t="str">
        <f t="shared" ca="1" si="11"/>
        <v>Kano</v>
      </c>
      <c r="F119">
        <f t="shared" ca="1" si="12"/>
        <v>10</v>
      </c>
      <c r="G119">
        <f t="shared" ca="1" si="13"/>
        <v>3100</v>
      </c>
      <c r="H119">
        <f t="shared" ca="1" si="14"/>
        <v>31000</v>
      </c>
    </row>
    <row r="120" spans="1:8">
      <c r="A120" s="2">
        <f t="shared" ca="1" si="8"/>
        <v>45683</v>
      </c>
      <c r="B120" s="3">
        <f t="shared" si="15"/>
        <v>1119</v>
      </c>
      <c r="C120" s="4" t="str">
        <f t="shared" ca="1" si="9"/>
        <v>Milk</v>
      </c>
      <c r="D120" s="4" t="str">
        <f t="shared" ca="1" si="10"/>
        <v>Beverage</v>
      </c>
      <c r="E120" t="str">
        <f t="shared" ca="1" si="11"/>
        <v>Abuja</v>
      </c>
      <c r="F120">
        <f t="shared" ca="1" si="12"/>
        <v>1</v>
      </c>
      <c r="G120">
        <f t="shared" ca="1" si="13"/>
        <v>3200</v>
      </c>
      <c r="H120">
        <f t="shared" ca="1" si="14"/>
        <v>3200</v>
      </c>
    </row>
    <row r="121" spans="1:8">
      <c r="A121" s="2">
        <f t="shared" ca="1" si="8"/>
        <v>45674</v>
      </c>
      <c r="B121" s="3">
        <f t="shared" si="15"/>
        <v>1120</v>
      </c>
      <c r="C121" s="4" t="str">
        <f t="shared" ca="1" si="9"/>
        <v>Soft Drink</v>
      </c>
      <c r="D121" s="4" t="str">
        <f t="shared" ca="1" si="10"/>
        <v>Beverage</v>
      </c>
      <c r="E121" t="str">
        <f t="shared" ca="1" si="11"/>
        <v>Kano</v>
      </c>
      <c r="F121">
        <f t="shared" ca="1" si="12"/>
        <v>18</v>
      </c>
      <c r="G121">
        <f t="shared" ca="1" si="13"/>
        <v>4900</v>
      </c>
      <c r="H121">
        <f t="shared" ca="1" si="14"/>
        <v>88200</v>
      </c>
    </row>
    <row r="122" spans="1:8">
      <c r="A122" s="2">
        <f t="shared" ca="1" si="8"/>
        <v>45666</v>
      </c>
      <c r="B122" s="3">
        <f t="shared" si="15"/>
        <v>1121</v>
      </c>
      <c r="C122" s="4" t="str">
        <f t="shared" ca="1" si="9"/>
        <v>Noodles</v>
      </c>
      <c r="D122" s="4" t="str">
        <f t="shared" ca="1" si="10"/>
        <v>Beverage</v>
      </c>
      <c r="E122" t="str">
        <f t="shared" ca="1" si="11"/>
        <v>Port Harcourt</v>
      </c>
      <c r="F122">
        <f t="shared" ca="1" si="12"/>
        <v>1</v>
      </c>
      <c r="G122">
        <f t="shared" ca="1" si="13"/>
        <v>3200</v>
      </c>
      <c r="H122">
        <f t="shared" ca="1" si="14"/>
        <v>3200</v>
      </c>
    </row>
    <row r="123" spans="1:8">
      <c r="A123" s="2">
        <f t="shared" ca="1" si="8"/>
        <v>45669</v>
      </c>
      <c r="B123" s="3">
        <f t="shared" si="15"/>
        <v>1122</v>
      </c>
      <c r="C123" s="4" t="str">
        <f t="shared" ca="1" si="9"/>
        <v>Beans</v>
      </c>
      <c r="D123" s="4" t="str">
        <f t="shared" ca="1" si="10"/>
        <v>Food</v>
      </c>
      <c r="E123" t="str">
        <f t="shared" ca="1" si="11"/>
        <v>Ibadan</v>
      </c>
      <c r="F123">
        <f t="shared" ca="1" si="12"/>
        <v>6</v>
      </c>
      <c r="G123">
        <f t="shared" ca="1" si="13"/>
        <v>4100</v>
      </c>
      <c r="H123">
        <f t="shared" ca="1" si="14"/>
        <v>24600</v>
      </c>
    </row>
    <row r="124" spans="1:8">
      <c r="A124" s="2">
        <f t="shared" ca="1" si="8"/>
        <v>45663</v>
      </c>
      <c r="B124" s="3">
        <f t="shared" si="15"/>
        <v>1123</v>
      </c>
      <c r="C124" s="4" t="str">
        <f t="shared" ca="1" si="9"/>
        <v>Cooking Oil</v>
      </c>
      <c r="D124" s="4" t="str">
        <f t="shared" ca="1" si="10"/>
        <v>Food</v>
      </c>
      <c r="E124" t="str">
        <f t="shared" ca="1" si="11"/>
        <v>Kano</v>
      </c>
      <c r="F124">
        <f t="shared" ca="1" si="12"/>
        <v>10</v>
      </c>
      <c r="G124">
        <f t="shared" ca="1" si="13"/>
        <v>3200</v>
      </c>
      <c r="H124">
        <f t="shared" ca="1" si="14"/>
        <v>32000</v>
      </c>
    </row>
    <row r="125" spans="1:8">
      <c r="A125" s="2">
        <f t="shared" ca="1" si="8"/>
        <v>45682</v>
      </c>
      <c r="B125" s="3">
        <f t="shared" si="15"/>
        <v>1124</v>
      </c>
      <c r="C125" s="4" t="str">
        <f t="shared" ca="1" si="9"/>
        <v>Cooking Oil</v>
      </c>
      <c r="D125" s="4" t="str">
        <f t="shared" ca="1" si="10"/>
        <v>Food</v>
      </c>
      <c r="E125" t="str">
        <f t="shared" ca="1" si="11"/>
        <v>Port Harcourt</v>
      </c>
      <c r="F125">
        <f t="shared" ca="1" si="12"/>
        <v>15</v>
      </c>
      <c r="G125">
        <f t="shared" ca="1" si="13"/>
        <v>3400</v>
      </c>
      <c r="H125">
        <f t="shared" ca="1" si="14"/>
        <v>51000</v>
      </c>
    </row>
    <row r="126" spans="1:8">
      <c r="A126" s="2">
        <f t="shared" ca="1" si="8"/>
        <v>45680</v>
      </c>
      <c r="B126" s="3">
        <f t="shared" si="15"/>
        <v>1125</v>
      </c>
      <c r="C126" s="4" t="str">
        <f t="shared" ca="1" si="9"/>
        <v>Bread</v>
      </c>
      <c r="D126" s="4" t="str">
        <f t="shared" ca="1" si="10"/>
        <v>Household</v>
      </c>
      <c r="E126" t="str">
        <f t="shared" ca="1" si="11"/>
        <v>Abuja</v>
      </c>
      <c r="F126">
        <f t="shared" ca="1" si="12"/>
        <v>1</v>
      </c>
      <c r="G126">
        <f t="shared" ca="1" si="13"/>
        <v>1300</v>
      </c>
      <c r="H126">
        <f t="shared" ca="1" si="14"/>
        <v>1300</v>
      </c>
    </row>
    <row r="127" spans="1:8">
      <c r="A127" s="2">
        <f t="shared" ca="1" si="8"/>
        <v>45680</v>
      </c>
      <c r="B127" s="3">
        <f t="shared" si="15"/>
        <v>1126</v>
      </c>
      <c r="C127" s="4" t="str">
        <f t="shared" ca="1" si="9"/>
        <v>Beans</v>
      </c>
      <c r="D127" s="4" t="str">
        <f t="shared" ca="1" si="10"/>
        <v>Beverage</v>
      </c>
      <c r="E127" t="str">
        <f t="shared" ca="1" si="11"/>
        <v>Port Harcourt</v>
      </c>
      <c r="F127">
        <f t="shared" ca="1" si="12"/>
        <v>1</v>
      </c>
      <c r="G127">
        <f t="shared" ca="1" si="13"/>
        <v>4300</v>
      </c>
      <c r="H127">
        <f t="shared" ca="1" si="14"/>
        <v>4300</v>
      </c>
    </row>
    <row r="128" spans="1:8">
      <c r="A128" s="2">
        <f t="shared" ca="1" si="8"/>
        <v>45658</v>
      </c>
      <c r="B128" s="3">
        <f t="shared" si="15"/>
        <v>1127</v>
      </c>
      <c r="C128" s="4" t="str">
        <f t="shared" ca="1" si="9"/>
        <v>Cooking Oil</v>
      </c>
      <c r="D128" s="4" t="str">
        <f t="shared" ca="1" si="10"/>
        <v>Beverage</v>
      </c>
      <c r="E128" t="str">
        <f t="shared" ca="1" si="11"/>
        <v>Ibadan</v>
      </c>
      <c r="F128">
        <f t="shared" ca="1" si="12"/>
        <v>16</v>
      </c>
      <c r="G128">
        <f t="shared" ca="1" si="13"/>
        <v>2000</v>
      </c>
      <c r="H128">
        <f t="shared" ca="1" si="14"/>
        <v>32000</v>
      </c>
    </row>
    <row r="129" spans="1:8">
      <c r="A129" s="2">
        <f t="shared" ca="1" si="8"/>
        <v>45667</v>
      </c>
      <c r="B129" s="3">
        <f t="shared" si="15"/>
        <v>1128</v>
      </c>
      <c r="C129" s="4" t="str">
        <f t="shared" ca="1" si="9"/>
        <v>Rice</v>
      </c>
      <c r="D129" s="4" t="str">
        <f t="shared" ca="1" si="10"/>
        <v>Food</v>
      </c>
      <c r="E129" t="str">
        <f t="shared" ca="1" si="11"/>
        <v>Port Harcourt</v>
      </c>
      <c r="F129">
        <f t="shared" ca="1" si="12"/>
        <v>15</v>
      </c>
      <c r="G129">
        <f t="shared" ca="1" si="13"/>
        <v>4500</v>
      </c>
      <c r="H129">
        <f t="shared" ca="1" si="14"/>
        <v>67500</v>
      </c>
    </row>
    <row r="130" spans="1:8">
      <c r="A130" s="2">
        <f t="shared" ca="1" si="8"/>
        <v>45669</v>
      </c>
      <c r="B130" s="3">
        <f t="shared" si="15"/>
        <v>1129</v>
      </c>
      <c r="C130" s="4" t="str">
        <f t="shared" ca="1" si="9"/>
        <v>Sugar</v>
      </c>
      <c r="D130" s="4" t="str">
        <f t="shared" ca="1" si="10"/>
        <v>Household</v>
      </c>
      <c r="E130" t="str">
        <f t="shared" ca="1" si="11"/>
        <v>Ibadan</v>
      </c>
      <c r="F130">
        <f t="shared" ca="1" si="12"/>
        <v>17</v>
      </c>
      <c r="G130">
        <f t="shared" ca="1" si="13"/>
        <v>6000</v>
      </c>
      <c r="H130">
        <f t="shared" ca="1" si="14"/>
        <v>102000</v>
      </c>
    </row>
    <row r="131" spans="1:8">
      <c r="A131" s="2">
        <f t="shared" ref="A131:A194" ca="1" si="16">DATE(2025,1,RANDBETWEEN(1,28))</f>
        <v>45672</v>
      </c>
      <c r="B131" s="3">
        <f t="shared" si="15"/>
        <v>1130</v>
      </c>
      <c r="C131" s="4" t="str">
        <f t="shared" ref="C131:C194" ca="1" si="17">CHOOSE(RANDBETWEEN(1,8),"Rice","Beans","Cooking Oil","Milk","Bread","Sugar","Noodles","Soft Drink")</f>
        <v>Bread</v>
      </c>
      <c r="D131" s="4" t="str">
        <f t="shared" ref="D131:D194" ca="1" si="18">CHOOSE(RANDBETWEEN(1,3),"Food","Beverage","Household")</f>
        <v>Food</v>
      </c>
      <c r="E131" t="str">
        <f t="shared" ref="E131:E194" ca="1" si="19">CHOOSE(RANDBETWEEN(1,5),"Lagos","Abuja","Port Harcourt","Ibadan","Kano")</f>
        <v>Ibadan</v>
      </c>
      <c r="F131">
        <f t="shared" ref="F131:F194" ca="1" si="20">RANDBETWEEN(1,20)</f>
        <v>3</v>
      </c>
      <c r="G131">
        <f t="shared" ref="G131:G194" ca="1" si="21">ROUND(RANDBETWEEN(500,7000)/100,0)*100</f>
        <v>1500</v>
      </c>
      <c r="H131">
        <f t="shared" ref="H131:H194" ca="1" si="22">F131*G131</f>
        <v>4500</v>
      </c>
    </row>
    <row r="132" spans="1:8">
      <c r="A132" s="2">
        <f t="shared" ca="1" si="16"/>
        <v>45664</v>
      </c>
      <c r="B132" s="3">
        <f t="shared" ref="B132:B195" si="23">B131+1</f>
        <v>1131</v>
      </c>
      <c r="C132" s="4" t="str">
        <f t="shared" ca="1" si="17"/>
        <v>Bread</v>
      </c>
      <c r="D132" s="4" t="str">
        <f t="shared" ca="1" si="18"/>
        <v>Household</v>
      </c>
      <c r="E132" t="str">
        <f t="shared" ca="1" si="19"/>
        <v>Kano</v>
      </c>
      <c r="F132">
        <f t="shared" ca="1" si="20"/>
        <v>5</v>
      </c>
      <c r="G132">
        <f t="shared" ca="1" si="21"/>
        <v>5200</v>
      </c>
      <c r="H132">
        <f t="shared" ca="1" si="22"/>
        <v>26000</v>
      </c>
    </row>
    <row r="133" spans="1:8">
      <c r="A133" s="2">
        <f t="shared" ca="1" si="16"/>
        <v>45659</v>
      </c>
      <c r="B133" s="3">
        <f t="shared" si="23"/>
        <v>1132</v>
      </c>
      <c r="C133" s="4" t="str">
        <f t="shared" ca="1" si="17"/>
        <v>Rice</v>
      </c>
      <c r="D133" s="4" t="str">
        <f t="shared" ca="1" si="18"/>
        <v>Food</v>
      </c>
      <c r="E133" t="str">
        <f t="shared" ca="1" si="19"/>
        <v>Lagos</v>
      </c>
      <c r="F133">
        <f t="shared" ca="1" si="20"/>
        <v>1</v>
      </c>
      <c r="G133">
        <f t="shared" ca="1" si="21"/>
        <v>4700</v>
      </c>
      <c r="H133">
        <f t="shared" ca="1" si="22"/>
        <v>4700</v>
      </c>
    </row>
    <row r="134" spans="1:8">
      <c r="A134" s="2">
        <f t="shared" ca="1" si="16"/>
        <v>45679</v>
      </c>
      <c r="B134" s="3">
        <f t="shared" si="23"/>
        <v>1133</v>
      </c>
      <c r="C134" s="4" t="str">
        <f t="shared" ca="1" si="17"/>
        <v>Milk</v>
      </c>
      <c r="D134" s="4" t="str">
        <f t="shared" ca="1" si="18"/>
        <v>Beverage</v>
      </c>
      <c r="E134" t="str">
        <f t="shared" ca="1" si="19"/>
        <v>Port Harcourt</v>
      </c>
      <c r="F134">
        <f t="shared" ca="1" si="20"/>
        <v>5</v>
      </c>
      <c r="G134">
        <f t="shared" ca="1" si="21"/>
        <v>600</v>
      </c>
      <c r="H134">
        <f t="shared" ca="1" si="22"/>
        <v>3000</v>
      </c>
    </row>
    <row r="135" spans="1:8">
      <c r="A135" s="2">
        <f t="shared" ca="1" si="16"/>
        <v>45679</v>
      </c>
      <c r="B135" s="3">
        <f t="shared" si="23"/>
        <v>1134</v>
      </c>
      <c r="C135" s="4" t="str">
        <f t="shared" ca="1" si="17"/>
        <v>Cooking Oil</v>
      </c>
      <c r="D135" s="4" t="str">
        <f t="shared" ca="1" si="18"/>
        <v>Food</v>
      </c>
      <c r="E135" t="str">
        <f t="shared" ca="1" si="19"/>
        <v>Lagos</v>
      </c>
      <c r="F135">
        <f t="shared" ca="1" si="20"/>
        <v>6</v>
      </c>
      <c r="G135">
        <f t="shared" ca="1" si="21"/>
        <v>3500</v>
      </c>
      <c r="H135">
        <f t="shared" ca="1" si="22"/>
        <v>21000</v>
      </c>
    </row>
    <row r="136" spans="1:8">
      <c r="A136" s="2">
        <f t="shared" ca="1" si="16"/>
        <v>45682</v>
      </c>
      <c r="B136" s="3">
        <f t="shared" si="23"/>
        <v>1135</v>
      </c>
      <c r="C136" s="4" t="str">
        <f t="shared" ca="1" si="17"/>
        <v>Soft Drink</v>
      </c>
      <c r="D136" s="4" t="str">
        <f t="shared" ca="1" si="18"/>
        <v>Household</v>
      </c>
      <c r="E136" t="str">
        <f t="shared" ca="1" si="19"/>
        <v>Kano</v>
      </c>
      <c r="F136">
        <f t="shared" ca="1" si="20"/>
        <v>1</v>
      </c>
      <c r="G136">
        <f t="shared" ca="1" si="21"/>
        <v>6200</v>
      </c>
      <c r="H136">
        <f t="shared" ca="1" si="22"/>
        <v>6200</v>
      </c>
    </row>
    <row r="137" spans="1:8">
      <c r="A137" s="2">
        <f t="shared" ca="1" si="16"/>
        <v>45671</v>
      </c>
      <c r="B137" s="3">
        <f t="shared" si="23"/>
        <v>1136</v>
      </c>
      <c r="C137" s="4" t="str">
        <f t="shared" ca="1" si="17"/>
        <v>Beans</v>
      </c>
      <c r="D137" s="4" t="str">
        <f t="shared" ca="1" si="18"/>
        <v>Beverage</v>
      </c>
      <c r="E137" t="str">
        <f t="shared" ca="1" si="19"/>
        <v>Lagos</v>
      </c>
      <c r="F137">
        <f t="shared" ca="1" si="20"/>
        <v>3</v>
      </c>
      <c r="G137">
        <f t="shared" ca="1" si="21"/>
        <v>3300</v>
      </c>
      <c r="H137">
        <f t="shared" ca="1" si="22"/>
        <v>9900</v>
      </c>
    </row>
    <row r="138" spans="1:8">
      <c r="A138" s="2">
        <f t="shared" ca="1" si="16"/>
        <v>45673</v>
      </c>
      <c r="B138" s="3">
        <f t="shared" si="23"/>
        <v>1137</v>
      </c>
      <c r="C138" s="4" t="str">
        <f t="shared" ca="1" si="17"/>
        <v>Sugar</v>
      </c>
      <c r="D138" s="4" t="str">
        <f t="shared" ca="1" si="18"/>
        <v>Food</v>
      </c>
      <c r="E138" t="str">
        <f t="shared" ca="1" si="19"/>
        <v>Ibadan</v>
      </c>
      <c r="F138">
        <f t="shared" ca="1" si="20"/>
        <v>14</v>
      </c>
      <c r="G138">
        <f t="shared" ca="1" si="21"/>
        <v>4200</v>
      </c>
      <c r="H138">
        <f t="shared" ca="1" si="22"/>
        <v>58800</v>
      </c>
    </row>
    <row r="139" spans="1:8">
      <c r="A139" s="2">
        <f t="shared" ca="1" si="16"/>
        <v>45672</v>
      </c>
      <c r="B139" s="3">
        <f t="shared" si="23"/>
        <v>1138</v>
      </c>
      <c r="C139" s="4" t="str">
        <f t="shared" ca="1" si="17"/>
        <v>Noodles</v>
      </c>
      <c r="D139" s="4" t="str">
        <f t="shared" ca="1" si="18"/>
        <v>Food</v>
      </c>
      <c r="E139" t="str">
        <f t="shared" ca="1" si="19"/>
        <v>Ibadan</v>
      </c>
      <c r="F139">
        <f t="shared" ca="1" si="20"/>
        <v>16</v>
      </c>
      <c r="G139">
        <f t="shared" ca="1" si="21"/>
        <v>1000</v>
      </c>
      <c r="H139">
        <f t="shared" ca="1" si="22"/>
        <v>16000</v>
      </c>
    </row>
    <row r="140" spans="1:8">
      <c r="A140" s="2">
        <f t="shared" ca="1" si="16"/>
        <v>45683</v>
      </c>
      <c r="B140" s="3">
        <f t="shared" si="23"/>
        <v>1139</v>
      </c>
      <c r="C140" s="4" t="str">
        <f t="shared" ca="1" si="17"/>
        <v>Sugar</v>
      </c>
      <c r="D140" s="4" t="str">
        <f t="shared" ca="1" si="18"/>
        <v>Food</v>
      </c>
      <c r="E140" t="str">
        <f t="shared" ca="1" si="19"/>
        <v>Ibadan</v>
      </c>
      <c r="F140">
        <f t="shared" ca="1" si="20"/>
        <v>1</v>
      </c>
      <c r="G140">
        <f t="shared" ca="1" si="21"/>
        <v>5100</v>
      </c>
      <c r="H140">
        <f t="shared" ca="1" si="22"/>
        <v>5100</v>
      </c>
    </row>
    <row r="141" spans="1:8">
      <c r="A141" s="2">
        <f t="shared" ca="1" si="16"/>
        <v>45685</v>
      </c>
      <c r="B141" s="3">
        <f t="shared" si="23"/>
        <v>1140</v>
      </c>
      <c r="C141" s="4" t="str">
        <f t="shared" ca="1" si="17"/>
        <v>Rice</v>
      </c>
      <c r="D141" s="4" t="str">
        <f t="shared" ca="1" si="18"/>
        <v>Household</v>
      </c>
      <c r="E141" t="str">
        <f t="shared" ca="1" si="19"/>
        <v>Ibadan</v>
      </c>
      <c r="F141">
        <f t="shared" ca="1" si="20"/>
        <v>8</v>
      </c>
      <c r="G141">
        <f t="shared" ca="1" si="21"/>
        <v>3400</v>
      </c>
      <c r="H141">
        <f t="shared" ca="1" si="22"/>
        <v>27200</v>
      </c>
    </row>
    <row r="142" spans="1:8">
      <c r="A142" s="2">
        <f t="shared" ca="1" si="16"/>
        <v>45673</v>
      </c>
      <c r="B142" s="3">
        <f t="shared" si="23"/>
        <v>1141</v>
      </c>
      <c r="C142" s="4" t="str">
        <f t="shared" ca="1" si="17"/>
        <v>Noodles</v>
      </c>
      <c r="D142" s="4" t="str">
        <f t="shared" ca="1" si="18"/>
        <v>Beverage</v>
      </c>
      <c r="E142" t="str">
        <f t="shared" ca="1" si="19"/>
        <v>Kano</v>
      </c>
      <c r="F142">
        <f t="shared" ca="1" si="20"/>
        <v>13</v>
      </c>
      <c r="G142">
        <f t="shared" ca="1" si="21"/>
        <v>3400</v>
      </c>
      <c r="H142">
        <f t="shared" ca="1" si="22"/>
        <v>44200</v>
      </c>
    </row>
    <row r="143" spans="1:8">
      <c r="A143" s="2">
        <f t="shared" ca="1" si="16"/>
        <v>45678</v>
      </c>
      <c r="B143" s="3">
        <f t="shared" si="23"/>
        <v>1142</v>
      </c>
      <c r="C143" s="4" t="str">
        <f t="shared" ca="1" si="17"/>
        <v>Noodles</v>
      </c>
      <c r="D143" s="4" t="str">
        <f t="shared" ca="1" si="18"/>
        <v>Beverage</v>
      </c>
      <c r="E143" t="str">
        <f t="shared" ca="1" si="19"/>
        <v>Ibadan</v>
      </c>
      <c r="F143">
        <f t="shared" ca="1" si="20"/>
        <v>4</v>
      </c>
      <c r="G143">
        <f t="shared" ca="1" si="21"/>
        <v>1500</v>
      </c>
      <c r="H143">
        <f t="shared" ca="1" si="22"/>
        <v>6000</v>
      </c>
    </row>
    <row r="144" spans="1:8">
      <c r="A144" s="2">
        <f t="shared" ca="1" si="16"/>
        <v>45671</v>
      </c>
      <c r="B144" s="3">
        <f t="shared" si="23"/>
        <v>1143</v>
      </c>
      <c r="C144" s="4" t="str">
        <f t="shared" ca="1" si="17"/>
        <v>Rice</v>
      </c>
      <c r="D144" s="4" t="str">
        <f t="shared" ca="1" si="18"/>
        <v>Household</v>
      </c>
      <c r="E144" t="str">
        <f t="shared" ca="1" si="19"/>
        <v>Port Harcourt</v>
      </c>
      <c r="F144">
        <f t="shared" ca="1" si="20"/>
        <v>8</v>
      </c>
      <c r="G144">
        <f t="shared" ca="1" si="21"/>
        <v>5700</v>
      </c>
      <c r="H144">
        <f t="shared" ca="1" si="22"/>
        <v>45600</v>
      </c>
    </row>
    <row r="145" spans="1:8">
      <c r="A145" s="2">
        <f t="shared" ca="1" si="16"/>
        <v>45662</v>
      </c>
      <c r="B145" s="3">
        <f t="shared" si="23"/>
        <v>1144</v>
      </c>
      <c r="C145" s="4" t="str">
        <f t="shared" ca="1" si="17"/>
        <v>Soft Drink</v>
      </c>
      <c r="D145" s="4" t="str">
        <f t="shared" ca="1" si="18"/>
        <v>Household</v>
      </c>
      <c r="E145" t="str">
        <f t="shared" ca="1" si="19"/>
        <v>Ibadan</v>
      </c>
      <c r="F145">
        <f t="shared" ca="1" si="20"/>
        <v>11</v>
      </c>
      <c r="G145">
        <f t="shared" ca="1" si="21"/>
        <v>5600</v>
      </c>
      <c r="H145">
        <f t="shared" ca="1" si="22"/>
        <v>61600</v>
      </c>
    </row>
    <row r="146" spans="1:8">
      <c r="A146" s="2">
        <f t="shared" ca="1" si="16"/>
        <v>45677</v>
      </c>
      <c r="B146" s="3">
        <f t="shared" si="23"/>
        <v>1145</v>
      </c>
      <c r="C146" s="4" t="str">
        <f t="shared" ca="1" si="17"/>
        <v>Bread</v>
      </c>
      <c r="D146" s="4" t="str">
        <f t="shared" ca="1" si="18"/>
        <v>Household</v>
      </c>
      <c r="E146" t="str">
        <f t="shared" ca="1" si="19"/>
        <v>Kano</v>
      </c>
      <c r="F146">
        <f t="shared" ca="1" si="20"/>
        <v>8</v>
      </c>
      <c r="G146">
        <f t="shared" ca="1" si="21"/>
        <v>1700</v>
      </c>
      <c r="H146">
        <f t="shared" ca="1" si="22"/>
        <v>13600</v>
      </c>
    </row>
    <row r="147" spans="1:8">
      <c r="A147" s="2">
        <f t="shared" ca="1" si="16"/>
        <v>45679</v>
      </c>
      <c r="B147" s="3">
        <f t="shared" si="23"/>
        <v>1146</v>
      </c>
      <c r="C147" s="4" t="str">
        <f t="shared" ca="1" si="17"/>
        <v>Beans</v>
      </c>
      <c r="D147" s="4" t="str">
        <f t="shared" ca="1" si="18"/>
        <v>Food</v>
      </c>
      <c r="E147" t="str">
        <f t="shared" ca="1" si="19"/>
        <v>Ibadan</v>
      </c>
      <c r="F147">
        <f t="shared" ca="1" si="20"/>
        <v>19</v>
      </c>
      <c r="G147">
        <f t="shared" ca="1" si="21"/>
        <v>3900</v>
      </c>
      <c r="H147">
        <f t="shared" ca="1" si="22"/>
        <v>74100</v>
      </c>
    </row>
    <row r="148" spans="1:8">
      <c r="A148" s="2">
        <f t="shared" ca="1" si="16"/>
        <v>45681</v>
      </c>
      <c r="B148" s="3">
        <f t="shared" si="23"/>
        <v>1147</v>
      </c>
      <c r="C148" s="4" t="str">
        <f t="shared" ca="1" si="17"/>
        <v>Beans</v>
      </c>
      <c r="D148" s="4" t="str">
        <f t="shared" ca="1" si="18"/>
        <v>Beverage</v>
      </c>
      <c r="E148" t="str">
        <f t="shared" ca="1" si="19"/>
        <v>Lagos</v>
      </c>
      <c r="F148">
        <f t="shared" ca="1" si="20"/>
        <v>16</v>
      </c>
      <c r="G148">
        <f t="shared" ca="1" si="21"/>
        <v>3000</v>
      </c>
      <c r="H148">
        <f t="shared" ca="1" si="22"/>
        <v>48000</v>
      </c>
    </row>
    <row r="149" spans="1:8">
      <c r="A149" s="2">
        <f t="shared" ca="1" si="16"/>
        <v>45664</v>
      </c>
      <c r="B149" s="3">
        <f t="shared" si="23"/>
        <v>1148</v>
      </c>
      <c r="C149" s="4" t="str">
        <f t="shared" ca="1" si="17"/>
        <v>Cooking Oil</v>
      </c>
      <c r="D149" s="4" t="str">
        <f t="shared" ca="1" si="18"/>
        <v>Household</v>
      </c>
      <c r="E149" t="str">
        <f t="shared" ca="1" si="19"/>
        <v>Port Harcourt</v>
      </c>
      <c r="F149">
        <f t="shared" ca="1" si="20"/>
        <v>1</v>
      </c>
      <c r="G149">
        <f t="shared" ca="1" si="21"/>
        <v>4700</v>
      </c>
      <c r="H149">
        <f t="shared" ca="1" si="22"/>
        <v>4700</v>
      </c>
    </row>
    <row r="150" spans="1:8">
      <c r="A150" s="2">
        <f t="shared" ca="1" si="16"/>
        <v>45662</v>
      </c>
      <c r="B150" s="3">
        <f t="shared" si="23"/>
        <v>1149</v>
      </c>
      <c r="C150" s="4" t="str">
        <f t="shared" ca="1" si="17"/>
        <v>Soft Drink</v>
      </c>
      <c r="D150" s="4" t="str">
        <f t="shared" ca="1" si="18"/>
        <v>Household</v>
      </c>
      <c r="E150" t="str">
        <f t="shared" ca="1" si="19"/>
        <v>Lagos</v>
      </c>
      <c r="F150">
        <f t="shared" ca="1" si="20"/>
        <v>10</v>
      </c>
      <c r="G150">
        <f t="shared" ca="1" si="21"/>
        <v>6300</v>
      </c>
      <c r="H150">
        <f t="shared" ca="1" si="22"/>
        <v>63000</v>
      </c>
    </row>
    <row r="151" spans="1:8">
      <c r="A151" s="2">
        <f t="shared" ca="1" si="16"/>
        <v>45677</v>
      </c>
      <c r="B151" s="3">
        <f t="shared" si="23"/>
        <v>1150</v>
      </c>
      <c r="C151" s="4" t="str">
        <f t="shared" ca="1" si="17"/>
        <v>Rice</v>
      </c>
      <c r="D151" s="4" t="str">
        <f t="shared" ca="1" si="18"/>
        <v>Household</v>
      </c>
      <c r="E151" t="str">
        <f t="shared" ca="1" si="19"/>
        <v>Lagos</v>
      </c>
      <c r="F151">
        <f t="shared" ca="1" si="20"/>
        <v>5</v>
      </c>
      <c r="G151">
        <f t="shared" ca="1" si="21"/>
        <v>5400</v>
      </c>
      <c r="H151">
        <f t="shared" ca="1" si="22"/>
        <v>27000</v>
      </c>
    </row>
    <row r="152" spans="1:8">
      <c r="A152" s="2">
        <f t="shared" ca="1" si="16"/>
        <v>45658</v>
      </c>
      <c r="B152" s="3">
        <f t="shared" si="23"/>
        <v>1151</v>
      </c>
      <c r="C152" s="4" t="str">
        <f t="shared" ca="1" si="17"/>
        <v>Sugar</v>
      </c>
      <c r="D152" s="4" t="str">
        <f t="shared" ca="1" si="18"/>
        <v>Beverage</v>
      </c>
      <c r="E152" t="str">
        <f t="shared" ca="1" si="19"/>
        <v>Lagos</v>
      </c>
      <c r="F152">
        <f t="shared" ca="1" si="20"/>
        <v>3</v>
      </c>
      <c r="G152">
        <f t="shared" ca="1" si="21"/>
        <v>4300</v>
      </c>
      <c r="H152">
        <f t="shared" ca="1" si="22"/>
        <v>12900</v>
      </c>
    </row>
    <row r="153" spans="1:8">
      <c r="A153" s="2">
        <f t="shared" ca="1" si="16"/>
        <v>45685</v>
      </c>
      <c r="B153" s="3">
        <f t="shared" si="23"/>
        <v>1152</v>
      </c>
      <c r="C153" s="4" t="str">
        <f t="shared" ca="1" si="17"/>
        <v>Soft Drink</v>
      </c>
      <c r="D153" s="4" t="str">
        <f t="shared" ca="1" si="18"/>
        <v>Food</v>
      </c>
      <c r="E153" t="str">
        <f t="shared" ca="1" si="19"/>
        <v>Ibadan</v>
      </c>
      <c r="F153">
        <f t="shared" ca="1" si="20"/>
        <v>3</v>
      </c>
      <c r="G153">
        <f t="shared" ca="1" si="21"/>
        <v>4500</v>
      </c>
      <c r="H153">
        <f t="shared" ca="1" si="22"/>
        <v>13500</v>
      </c>
    </row>
    <row r="154" spans="1:8">
      <c r="A154" s="2">
        <f t="shared" ca="1" si="16"/>
        <v>45681</v>
      </c>
      <c r="B154" s="3">
        <f t="shared" si="23"/>
        <v>1153</v>
      </c>
      <c r="C154" s="4" t="str">
        <f t="shared" ca="1" si="17"/>
        <v>Bread</v>
      </c>
      <c r="D154" s="4" t="str">
        <f t="shared" ca="1" si="18"/>
        <v>Household</v>
      </c>
      <c r="E154" t="str">
        <f t="shared" ca="1" si="19"/>
        <v>Kano</v>
      </c>
      <c r="F154">
        <f t="shared" ca="1" si="20"/>
        <v>12</v>
      </c>
      <c r="G154">
        <f t="shared" ca="1" si="21"/>
        <v>4100</v>
      </c>
      <c r="H154">
        <f t="shared" ca="1" si="22"/>
        <v>49200</v>
      </c>
    </row>
    <row r="155" spans="1:8">
      <c r="A155" s="2">
        <f t="shared" ca="1" si="16"/>
        <v>45675</v>
      </c>
      <c r="B155" s="3">
        <f t="shared" si="23"/>
        <v>1154</v>
      </c>
      <c r="C155" s="4" t="str">
        <f t="shared" ca="1" si="17"/>
        <v>Sugar</v>
      </c>
      <c r="D155" s="4" t="str">
        <f t="shared" ca="1" si="18"/>
        <v>Beverage</v>
      </c>
      <c r="E155" t="str">
        <f t="shared" ca="1" si="19"/>
        <v>Kano</v>
      </c>
      <c r="F155">
        <f t="shared" ca="1" si="20"/>
        <v>12</v>
      </c>
      <c r="G155">
        <f t="shared" ca="1" si="21"/>
        <v>3500</v>
      </c>
      <c r="H155">
        <f t="shared" ca="1" si="22"/>
        <v>42000</v>
      </c>
    </row>
    <row r="156" spans="1:8">
      <c r="A156" s="2">
        <f t="shared" ca="1" si="16"/>
        <v>45675</v>
      </c>
      <c r="B156" s="3">
        <f t="shared" si="23"/>
        <v>1155</v>
      </c>
      <c r="C156" s="4" t="str">
        <f t="shared" ca="1" si="17"/>
        <v>Cooking Oil</v>
      </c>
      <c r="D156" s="4" t="str">
        <f t="shared" ca="1" si="18"/>
        <v>Food</v>
      </c>
      <c r="E156" t="str">
        <f t="shared" ca="1" si="19"/>
        <v>Kano</v>
      </c>
      <c r="F156">
        <f t="shared" ca="1" si="20"/>
        <v>7</v>
      </c>
      <c r="G156">
        <f t="shared" ca="1" si="21"/>
        <v>4300</v>
      </c>
      <c r="H156">
        <f t="shared" ca="1" si="22"/>
        <v>30100</v>
      </c>
    </row>
    <row r="157" spans="1:8">
      <c r="A157" s="2">
        <f t="shared" ca="1" si="16"/>
        <v>45661</v>
      </c>
      <c r="B157" s="3">
        <f t="shared" si="23"/>
        <v>1156</v>
      </c>
      <c r="C157" s="4" t="str">
        <f t="shared" ca="1" si="17"/>
        <v>Cooking Oil</v>
      </c>
      <c r="D157" s="4" t="str">
        <f t="shared" ca="1" si="18"/>
        <v>Household</v>
      </c>
      <c r="E157" t="str">
        <f t="shared" ca="1" si="19"/>
        <v>Ibadan</v>
      </c>
      <c r="F157">
        <f t="shared" ca="1" si="20"/>
        <v>16</v>
      </c>
      <c r="G157">
        <f t="shared" ca="1" si="21"/>
        <v>2000</v>
      </c>
      <c r="H157">
        <f t="shared" ca="1" si="22"/>
        <v>32000</v>
      </c>
    </row>
    <row r="158" spans="1:8">
      <c r="A158" s="2">
        <f t="shared" ca="1" si="16"/>
        <v>45675</v>
      </c>
      <c r="B158" s="3">
        <f t="shared" si="23"/>
        <v>1157</v>
      </c>
      <c r="C158" s="4" t="str">
        <f t="shared" ca="1" si="17"/>
        <v>Sugar</v>
      </c>
      <c r="D158" s="4" t="str">
        <f t="shared" ca="1" si="18"/>
        <v>Household</v>
      </c>
      <c r="E158" t="str">
        <f t="shared" ca="1" si="19"/>
        <v>Abuja</v>
      </c>
      <c r="F158">
        <f t="shared" ca="1" si="20"/>
        <v>3</v>
      </c>
      <c r="G158">
        <f t="shared" ca="1" si="21"/>
        <v>1400</v>
      </c>
      <c r="H158">
        <f t="shared" ca="1" si="22"/>
        <v>4200</v>
      </c>
    </row>
    <row r="159" spans="1:8">
      <c r="A159" s="2">
        <f t="shared" ca="1" si="16"/>
        <v>45678</v>
      </c>
      <c r="B159" s="3">
        <f t="shared" si="23"/>
        <v>1158</v>
      </c>
      <c r="C159" s="4" t="str">
        <f t="shared" ca="1" si="17"/>
        <v>Beans</v>
      </c>
      <c r="D159" s="4" t="str">
        <f t="shared" ca="1" si="18"/>
        <v>Beverage</v>
      </c>
      <c r="E159" t="str">
        <f t="shared" ca="1" si="19"/>
        <v>Lagos</v>
      </c>
      <c r="F159">
        <f t="shared" ca="1" si="20"/>
        <v>14</v>
      </c>
      <c r="G159">
        <f t="shared" ca="1" si="21"/>
        <v>6100</v>
      </c>
      <c r="H159">
        <f t="shared" ca="1" si="22"/>
        <v>85400</v>
      </c>
    </row>
    <row r="160" spans="1:8">
      <c r="A160" s="2">
        <f t="shared" ca="1" si="16"/>
        <v>45665</v>
      </c>
      <c r="B160" s="3">
        <f t="shared" si="23"/>
        <v>1159</v>
      </c>
      <c r="C160" s="4" t="str">
        <f t="shared" ca="1" si="17"/>
        <v>Milk</v>
      </c>
      <c r="D160" s="4" t="str">
        <f t="shared" ca="1" si="18"/>
        <v>Beverage</v>
      </c>
      <c r="E160" t="str">
        <f t="shared" ca="1" si="19"/>
        <v>Kano</v>
      </c>
      <c r="F160">
        <f t="shared" ca="1" si="20"/>
        <v>4</v>
      </c>
      <c r="G160">
        <f t="shared" ca="1" si="21"/>
        <v>4000</v>
      </c>
      <c r="H160">
        <f t="shared" ca="1" si="22"/>
        <v>16000</v>
      </c>
    </row>
    <row r="161" spans="1:8">
      <c r="A161" s="2">
        <f t="shared" ca="1" si="16"/>
        <v>45663</v>
      </c>
      <c r="B161" s="3">
        <f t="shared" si="23"/>
        <v>1160</v>
      </c>
      <c r="C161" s="4" t="str">
        <f t="shared" ca="1" si="17"/>
        <v>Beans</v>
      </c>
      <c r="D161" s="4" t="str">
        <f t="shared" ca="1" si="18"/>
        <v>Household</v>
      </c>
      <c r="E161" t="str">
        <f t="shared" ca="1" si="19"/>
        <v>Ibadan</v>
      </c>
      <c r="F161">
        <f t="shared" ca="1" si="20"/>
        <v>16</v>
      </c>
      <c r="G161">
        <f t="shared" ca="1" si="21"/>
        <v>3100</v>
      </c>
      <c r="H161">
        <f t="shared" ca="1" si="22"/>
        <v>49600</v>
      </c>
    </row>
    <row r="162" spans="1:8">
      <c r="A162" s="2">
        <f t="shared" ca="1" si="16"/>
        <v>45663</v>
      </c>
      <c r="B162" s="3">
        <f t="shared" si="23"/>
        <v>1161</v>
      </c>
      <c r="C162" s="4" t="str">
        <f t="shared" ca="1" si="17"/>
        <v>Rice</v>
      </c>
      <c r="D162" s="4" t="str">
        <f t="shared" ca="1" si="18"/>
        <v>Household</v>
      </c>
      <c r="E162" t="str">
        <f t="shared" ca="1" si="19"/>
        <v>Ibadan</v>
      </c>
      <c r="F162">
        <f t="shared" ca="1" si="20"/>
        <v>16</v>
      </c>
      <c r="G162">
        <f t="shared" ca="1" si="21"/>
        <v>2500</v>
      </c>
      <c r="H162">
        <f t="shared" ca="1" si="22"/>
        <v>40000</v>
      </c>
    </row>
    <row r="163" spans="1:8">
      <c r="A163" s="2">
        <f t="shared" ca="1" si="16"/>
        <v>45669</v>
      </c>
      <c r="B163" s="3">
        <f t="shared" si="23"/>
        <v>1162</v>
      </c>
      <c r="C163" s="4" t="str">
        <f t="shared" ca="1" si="17"/>
        <v>Soft Drink</v>
      </c>
      <c r="D163" s="4" t="str">
        <f t="shared" ca="1" si="18"/>
        <v>Food</v>
      </c>
      <c r="E163" t="str">
        <f t="shared" ca="1" si="19"/>
        <v>Kano</v>
      </c>
      <c r="F163">
        <f t="shared" ca="1" si="20"/>
        <v>14</v>
      </c>
      <c r="G163">
        <f t="shared" ca="1" si="21"/>
        <v>6000</v>
      </c>
      <c r="H163">
        <f t="shared" ca="1" si="22"/>
        <v>84000</v>
      </c>
    </row>
    <row r="164" spans="1:8">
      <c r="A164" s="2">
        <f t="shared" ca="1" si="16"/>
        <v>45684</v>
      </c>
      <c r="B164" s="3">
        <f t="shared" si="23"/>
        <v>1163</v>
      </c>
      <c r="C164" s="4" t="str">
        <f t="shared" ca="1" si="17"/>
        <v>Milk</v>
      </c>
      <c r="D164" s="4" t="str">
        <f t="shared" ca="1" si="18"/>
        <v>Food</v>
      </c>
      <c r="E164" t="str">
        <f t="shared" ca="1" si="19"/>
        <v>Abuja</v>
      </c>
      <c r="F164">
        <f t="shared" ca="1" si="20"/>
        <v>10</v>
      </c>
      <c r="G164">
        <f t="shared" ca="1" si="21"/>
        <v>2000</v>
      </c>
      <c r="H164">
        <f t="shared" ca="1" si="22"/>
        <v>20000</v>
      </c>
    </row>
    <row r="165" spans="1:8">
      <c r="A165" s="2">
        <f t="shared" ca="1" si="16"/>
        <v>45679</v>
      </c>
      <c r="B165" s="3">
        <f t="shared" si="23"/>
        <v>1164</v>
      </c>
      <c r="C165" s="4" t="str">
        <f t="shared" ca="1" si="17"/>
        <v>Sugar</v>
      </c>
      <c r="D165" s="4" t="str">
        <f t="shared" ca="1" si="18"/>
        <v>Food</v>
      </c>
      <c r="E165" t="str">
        <f t="shared" ca="1" si="19"/>
        <v>Ibadan</v>
      </c>
      <c r="F165">
        <f t="shared" ca="1" si="20"/>
        <v>4</v>
      </c>
      <c r="G165">
        <f t="shared" ca="1" si="21"/>
        <v>3700</v>
      </c>
      <c r="H165">
        <f t="shared" ca="1" si="22"/>
        <v>14800</v>
      </c>
    </row>
    <row r="166" spans="1:8">
      <c r="A166" s="2">
        <f t="shared" ca="1" si="16"/>
        <v>45674</v>
      </c>
      <c r="B166" s="3">
        <f t="shared" si="23"/>
        <v>1165</v>
      </c>
      <c r="C166" s="4" t="str">
        <f t="shared" ca="1" si="17"/>
        <v>Milk</v>
      </c>
      <c r="D166" s="4" t="str">
        <f t="shared" ca="1" si="18"/>
        <v>Household</v>
      </c>
      <c r="E166" t="str">
        <f t="shared" ca="1" si="19"/>
        <v>Ibadan</v>
      </c>
      <c r="F166">
        <f t="shared" ca="1" si="20"/>
        <v>4</v>
      </c>
      <c r="G166">
        <f t="shared" ca="1" si="21"/>
        <v>5300</v>
      </c>
      <c r="H166">
        <f t="shared" ca="1" si="22"/>
        <v>21200</v>
      </c>
    </row>
    <row r="167" spans="1:8">
      <c r="A167" s="2">
        <f t="shared" ca="1" si="16"/>
        <v>45658</v>
      </c>
      <c r="B167" s="3">
        <f t="shared" si="23"/>
        <v>1166</v>
      </c>
      <c r="C167" s="4" t="str">
        <f t="shared" ca="1" si="17"/>
        <v>Soft Drink</v>
      </c>
      <c r="D167" s="4" t="str">
        <f t="shared" ca="1" si="18"/>
        <v>Household</v>
      </c>
      <c r="E167" t="str">
        <f t="shared" ca="1" si="19"/>
        <v>Abuja</v>
      </c>
      <c r="F167">
        <f t="shared" ca="1" si="20"/>
        <v>17</v>
      </c>
      <c r="G167">
        <f t="shared" ca="1" si="21"/>
        <v>5200</v>
      </c>
      <c r="H167">
        <f t="shared" ca="1" si="22"/>
        <v>88400</v>
      </c>
    </row>
    <row r="168" spans="1:8">
      <c r="A168" s="2">
        <f t="shared" ca="1" si="16"/>
        <v>45666</v>
      </c>
      <c r="B168" s="3">
        <f t="shared" si="23"/>
        <v>1167</v>
      </c>
      <c r="C168" s="4" t="str">
        <f t="shared" ca="1" si="17"/>
        <v>Milk</v>
      </c>
      <c r="D168" s="4" t="str">
        <f t="shared" ca="1" si="18"/>
        <v>Beverage</v>
      </c>
      <c r="E168" t="str">
        <f t="shared" ca="1" si="19"/>
        <v>Kano</v>
      </c>
      <c r="F168">
        <f t="shared" ca="1" si="20"/>
        <v>3</v>
      </c>
      <c r="G168">
        <f t="shared" ca="1" si="21"/>
        <v>3100</v>
      </c>
      <c r="H168">
        <f t="shared" ca="1" si="22"/>
        <v>9300</v>
      </c>
    </row>
    <row r="169" spans="1:8">
      <c r="A169" s="2">
        <f t="shared" ca="1" si="16"/>
        <v>45670</v>
      </c>
      <c r="B169" s="3">
        <f t="shared" si="23"/>
        <v>1168</v>
      </c>
      <c r="C169" s="4" t="str">
        <f t="shared" ca="1" si="17"/>
        <v>Sugar</v>
      </c>
      <c r="D169" s="4" t="str">
        <f t="shared" ca="1" si="18"/>
        <v>Household</v>
      </c>
      <c r="E169" t="str">
        <f t="shared" ca="1" si="19"/>
        <v>Abuja</v>
      </c>
      <c r="F169">
        <f t="shared" ca="1" si="20"/>
        <v>8</v>
      </c>
      <c r="G169">
        <f t="shared" ca="1" si="21"/>
        <v>6500</v>
      </c>
      <c r="H169">
        <f t="shared" ca="1" si="22"/>
        <v>52000</v>
      </c>
    </row>
    <row r="170" spans="1:8">
      <c r="A170" s="2">
        <f t="shared" ca="1" si="16"/>
        <v>45660</v>
      </c>
      <c r="B170" s="3">
        <f t="shared" si="23"/>
        <v>1169</v>
      </c>
      <c r="C170" s="4" t="str">
        <f t="shared" ca="1" si="17"/>
        <v>Bread</v>
      </c>
      <c r="D170" s="4" t="str">
        <f t="shared" ca="1" si="18"/>
        <v>Beverage</v>
      </c>
      <c r="E170" t="str">
        <f t="shared" ca="1" si="19"/>
        <v>Port Harcourt</v>
      </c>
      <c r="F170">
        <f t="shared" ca="1" si="20"/>
        <v>16</v>
      </c>
      <c r="G170">
        <f t="shared" ca="1" si="21"/>
        <v>3400</v>
      </c>
      <c r="H170">
        <f t="shared" ca="1" si="22"/>
        <v>54400</v>
      </c>
    </row>
    <row r="171" spans="1:8">
      <c r="A171" s="2">
        <f t="shared" ca="1" si="16"/>
        <v>45678</v>
      </c>
      <c r="B171" s="3">
        <f t="shared" si="23"/>
        <v>1170</v>
      </c>
      <c r="C171" s="4" t="str">
        <f t="shared" ca="1" si="17"/>
        <v>Milk</v>
      </c>
      <c r="D171" s="4" t="str">
        <f t="shared" ca="1" si="18"/>
        <v>Food</v>
      </c>
      <c r="E171" t="str">
        <f t="shared" ca="1" si="19"/>
        <v>Lagos</v>
      </c>
      <c r="F171">
        <f t="shared" ca="1" si="20"/>
        <v>7</v>
      </c>
      <c r="G171">
        <f t="shared" ca="1" si="21"/>
        <v>3500</v>
      </c>
      <c r="H171">
        <f t="shared" ca="1" si="22"/>
        <v>24500</v>
      </c>
    </row>
    <row r="172" spans="1:8">
      <c r="A172" s="2">
        <f t="shared" ca="1" si="16"/>
        <v>45658</v>
      </c>
      <c r="B172" s="3">
        <f t="shared" si="23"/>
        <v>1171</v>
      </c>
      <c r="C172" s="4" t="str">
        <f t="shared" ca="1" si="17"/>
        <v>Rice</v>
      </c>
      <c r="D172" s="4" t="str">
        <f t="shared" ca="1" si="18"/>
        <v>Household</v>
      </c>
      <c r="E172" t="str">
        <f t="shared" ca="1" si="19"/>
        <v>Port Harcourt</v>
      </c>
      <c r="F172">
        <f t="shared" ca="1" si="20"/>
        <v>9</v>
      </c>
      <c r="G172">
        <f t="shared" ca="1" si="21"/>
        <v>900</v>
      </c>
      <c r="H172">
        <f t="shared" ca="1" si="22"/>
        <v>8100</v>
      </c>
    </row>
    <row r="173" spans="1:8">
      <c r="A173" s="2">
        <f t="shared" ca="1" si="16"/>
        <v>45677</v>
      </c>
      <c r="B173" s="3">
        <f t="shared" si="23"/>
        <v>1172</v>
      </c>
      <c r="C173" s="4" t="str">
        <f t="shared" ca="1" si="17"/>
        <v>Soft Drink</v>
      </c>
      <c r="D173" s="4" t="str">
        <f t="shared" ca="1" si="18"/>
        <v>Beverage</v>
      </c>
      <c r="E173" t="str">
        <f t="shared" ca="1" si="19"/>
        <v>Lagos</v>
      </c>
      <c r="F173">
        <f t="shared" ca="1" si="20"/>
        <v>11</v>
      </c>
      <c r="G173">
        <f t="shared" ca="1" si="21"/>
        <v>800</v>
      </c>
      <c r="H173">
        <f t="shared" ca="1" si="22"/>
        <v>8800</v>
      </c>
    </row>
    <row r="174" spans="1:8">
      <c r="A174" s="2">
        <f t="shared" ca="1" si="16"/>
        <v>45664</v>
      </c>
      <c r="B174" s="3">
        <f t="shared" si="23"/>
        <v>1173</v>
      </c>
      <c r="C174" s="4" t="str">
        <f t="shared" ca="1" si="17"/>
        <v>Soft Drink</v>
      </c>
      <c r="D174" s="4" t="str">
        <f t="shared" ca="1" si="18"/>
        <v>Food</v>
      </c>
      <c r="E174" t="str">
        <f t="shared" ca="1" si="19"/>
        <v>Abuja</v>
      </c>
      <c r="F174">
        <f t="shared" ca="1" si="20"/>
        <v>9</v>
      </c>
      <c r="G174">
        <f t="shared" ca="1" si="21"/>
        <v>3100</v>
      </c>
      <c r="H174">
        <f t="shared" ca="1" si="22"/>
        <v>27900</v>
      </c>
    </row>
    <row r="175" spans="1:8">
      <c r="A175" s="2">
        <f t="shared" ca="1" si="16"/>
        <v>45671</v>
      </c>
      <c r="B175" s="3">
        <f t="shared" si="23"/>
        <v>1174</v>
      </c>
      <c r="C175" s="4" t="str">
        <f t="shared" ca="1" si="17"/>
        <v>Soft Drink</v>
      </c>
      <c r="D175" s="4" t="str">
        <f t="shared" ca="1" si="18"/>
        <v>Beverage</v>
      </c>
      <c r="E175" t="str">
        <f t="shared" ca="1" si="19"/>
        <v>Lagos</v>
      </c>
      <c r="F175">
        <f t="shared" ca="1" si="20"/>
        <v>17</v>
      </c>
      <c r="G175">
        <f t="shared" ca="1" si="21"/>
        <v>5500</v>
      </c>
      <c r="H175">
        <f t="shared" ca="1" si="22"/>
        <v>93500</v>
      </c>
    </row>
    <row r="176" spans="1:8">
      <c r="A176" s="2">
        <f t="shared" ca="1" si="16"/>
        <v>45671</v>
      </c>
      <c r="B176" s="3">
        <f t="shared" si="23"/>
        <v>1175</v>
      </c>
      <c r="C176" s="4" t="str">
        <f t="shared" ca="1" si="17"/>
        <v>Noodles</v>
      </c>
      <c r="D176" s="4" t="str">
        <f t="shared" ca="1" si="18"/>
        <v>Household</v>
      </c>
      <c r="E176" t="str">
        <f t="shared" ca="1" si="19"/>
        <v>Port Harcourt</v>
      </c>
      <c r="F176">
        <f t="shared" ca="1" si="20"/>
        <v>4</v>
      </c>
      <c r="G176">
        <f t="shared" ca="1" si="21"/>
        <v>6300</v>
      </c>
      <c r="H176">
        <f t="shared" ca="1" si="22"/>
        <v>25200</v>
      </c>
    </row>
    <row r="177" spans="1:8">
      <c r="A177" s="2">
        <f t="shared" ca="1" si="16"/>
        <v>45676</v>
      </c>
      <c r="B177" s="3">
        <f t="shared" si="23"/>
        <v>1176</v>
      </c>
      <c r="C177" s="4" t="str">
        <f t="shared" ca="1" si="17"/>
        <v>Rice</v>
      </c>
      <c r="D177" s="4" t="str">
        <f t="shared" ca="1" si="18"/>
        <v>Household</v>
      </c>
      <c r="E177" t="str">
        <f t="shared" ca="1" si="19"/>
        <v>Lagos</v>
      </c>
      <c r="F177">
        <f t="shared" ca="1" si="20"/>
        <v>2</v>
      </c>
      <c r="G177">
        <f t="shared" ca="1" si="21"/>
        <v>2300</v>
      </c>
      <c r="H177">
        <f t="shared" ca="1" si="22"/>
        <v>4600</v>
      </c>
    </row>
    <row r="178" spans="1:8">
      <c r="A178" s="2">
        <f t="shared" ca="1" si="16"/>
        <v>45670</v>
      </c>
      <c r="B178" s="3">
        <f t="shared" si="23"/>
        <v>1177</v>
      </c>
      <c r="C178" s="4" t="str">
        <f t="shared" ca="1" si="17"/>
        <v>Beans</v>
      </c>
      <c r="D178" s="4" t="str">
        <f t="shared" ca="1" si="18"/>
        <v>Food</v>
      </c>
      <c r="E178" t="str">
        <f t="shared" ca="1" si="19"/>
        <v>Port Harcourt</v>
      </c>
      <c r="F178">
        <f t="shared" ca="1" si="20"/>
        <v>17</v>
      </c>
      <c r="G178">
        <f t="shared" ca="1" si="21"/>
        <v>1100</v>
      </c>
      <c r="H178">
        <f t="shared" ca="1" si="22"/>
        <v>18700</v>
      </c>
    </row>
    <row r="179" spans="1:8">
      <c r="A179" s="2">
        <f t="shared" ca="1" si="16"/>
        <v>45666</v>
      </c>
      <c r="B179" s="3">
        <f t="shared" si="23"/>
        <v>1178</v>
      </c>
      <c r="C179" s="4" t="str">
        <f t="shared" ca="1" si="17"/>
        <v>Rice</v>
      </c>
      <c r="D179" s="4" t="str">
        <f t="shared" ca="1" si="18"/>
        <v>Household</v>
      </c>
      <c r="E179" t="str">
        <f t="shared" ca="1" si="19"/>
        <v>Abuja</v>
      </c>
      <c r="F179">
        <f t="shared" ca="1" si="20"/>
        <v>5</v>
      </c>
      <c r="G179">
        <f t="shared" ca="1" si="21"/>
        <v>2300</v>
      </c>
      <c r="H179">
        <f t="shared" ca="1" si="22"/>
        <v>11500</v>
      </c>
    </row>
    <row r="180" spans="1:8">
      <c r="A180" s="2">
        <f t="shared" ca="1" si="16"/>
        <v>45665</v>
      </c>
      <c r="B180" s="3">
        <f t="shared" si="23"/>
        <v>1179</v>
      </c>
      <c r="C180" s="4" t="str">
        <f t="shared" ca="1" si="17"/>
        <v>Sugar</v>
      </c>
      <c r="D180" s="4" t="str">
        <f t="shared" ca="1" si="18"/>
        <v>Household</v>
      </c>
      <c r="E180" t="str">
        <f t="shared" ca="1" si="19"/>
        <v>Abuja</v>
      </c>
      <c r="F180">
        <f t="shared" ca="1" si="20"/>
        <v>5</v>
      </c>
      <c r="G180">
        <f t="shared" ca="1" si="21"/>
        <v>800</v>
      </c>
      <c r="H180">
        <f t="shared" ca="1" si="22"/>
        <v>4000</v>
      </c>
    </row>
    <row r="181" spans="1:8">
      <c r="A181" s="2">
        <f t="shared" ca="1" si="16"/>
        <v>45685</v>
      </c>
      <c r="B181" s="3">
        <f t="shared" si="23"/>
        <v>1180</v>
      </c>
      <c r="C181" s="4" t="str">
        <f t="shared" ca="1" si="17"/>
        <v>Beans</v>
      </c>
      <c r="D181" s="4" t="str">
        <f t="shared" ca="1" si="18"/>
        <v>Food</v>
      </c>
      <c r="E181" t="str">
        <f t="shared" ca="1" si="19"/>
        <v>Abuja</v>
      </c>
      <c r="F181">
        <f t="shared" ca="1" si="20"/>
        <v>20</v>
      </c>
      <c r="G181">
        <f t="shared" ca="1" si="21"/>
        <v>4200</v>
      </c>
      <c r="H181">
        <f t="shared" ca="1" si="22"/>
        <v>84000</v>
      </c>
    </row>
    <row r="182" spans="1:8">
      <c r="A182" s="2">
        <f t="shared" ca="1" si="16"/>
        <v>45661</v>
      </c>
      <c r="B182" s="3">
        <f t="shared" si="23"/>
        <v>1181</v>
      </c>
      <c r="C182" s="4" t="str">
        <f t="shared" ca="1" si="17"/>
        <v>Beans</v>
      </c>
      <c r="D182" s="4" t="str">
        <f t="shared" ca="1" si="18"/>
        <v>Beverage</v>
      </c>
      <c r="E182" t="str">
        <f t="shared" ca="1" si="19"/>
        <v>Port Harcourt</v>
      </c>
      <c r="F182">
        <f t="shared" ca="1" si="20"/>
        <v>16</v>
      </c>
      <c r="G182">
        <f t="shared" ca="1" si="21"/>
        <v>6400</v>
      </c>
      <c r="H182">
        <f t="shared" ca="1" si="22"/>
        <v>102400</v>
      </c>
    </row>
    <row r="183" spans="1:8">
      <c r="A183" s="2">
        <f t="shared" ca="1" si="16"/>
        <v>45676</v>
      </c>
      <c r="B183" s="3">
        <f t="shared" si="23"/>
        <v>1182</v>
      </c>
      <c r="C183" s="4" t="str">
        <f t="shared" ca="1" si="17"/>
        <v>Milk</v>
      </c>
      <c r="D183" s="4" t="str">
        <f t="shared" ca="1" si="18"/>
        <v>Beverage</v>
      </c>
      <c r="E183" t="str">
        <f t="shared" ca="1" si="19"/>
        <v>Ibadan</v>
      </c>
      <c r="F183">
        <f t="shared" ca="1" si="20"/>
        <v>12</v>
      </c>
      <c r="G183">
        <f t="shared" ca="1" si="21"/>
        <v>3200</v>
      </c>
      <c r="H183">
        <f t="shared" ca="1" si="22"/>
        <v>38400</v>
      </c>
    </row>
    <row r="184" spans="1:8">
      <c r="A184" s="2">
        <f t="shared" ca="1" si="16"/>
        <v>45675</v>
      </c>
      <c r="B184" s="3">
        <f t="shared" si="23"/>
        <v>1183</v>
      </c>
      <c r="C184" s="4" t="str">
        <f t="shared" ca="1" si="17"/>
        <v>Noodles</v>
      </c>
      <c r="D184" s="4" t="str">
        <f t="shared" ca="1" si="18"/>
        <v>Beverage</v>
      </c>
      <c r="E184" t="str">
        <f t="shared" ca="1" si="19"/>
        <v>Lagos</v>
      </c>
      <c r="F184">
        <f t="shared" ca="1" si="20"/>
        <v>11</v>
      </c>
      <c r="G184">
        <f t="shared" ca="1" si="21"/>
        <v>4300</v>
      </c>
      <c r="H184">
        <f t="shared" ca="1" si="22"/>
        <v>47300</v>
      </c>
    </row>
    <row r="185" spans="1:8">
      <c r="A185" s="2">
        <f t="shared" ca="1" si="16"/>
        <v>45661</v>
      </c>
      <c r="B185" s="3">
        <f t="shared" si="23"/>
        <v>1184</v>
      </c>
      <c r="C185" s="4" t="str">
        <f t="shared" ca="1" si="17"/>
        <v>Milk</v>
      </c>
      <c r="D185" s="4" t="str">
        <f t="shared" ca="1" si="18"/>
        <v>Food</v>
      </c>
      <c r="E185" t="str">
        <f t="shared" ca="1" si="19"/>
        <v>Ibadan</v>
      </c>
      <c r="F185">
        <f t="shared" ca="1" si="20"/>
        <v>15</v>
      </c>
      <c r="G185">
        <f t="shared" ca="1" si="21"/>
        <v>2300</v>
      </c>
      <c r="H185">
        <f t="shared" ca="1" si="22"/>
        <v>34500</v>
      </c>
    </row>
    <row r="186" spans="1:8">
      <c r="A186" s="2">
        <f t="shared" ca="1" si="16"/>
        <v>45674</v>
      </c>
      <c r="B186" s="3">
        <f t="shared" si="23"/>
        <v>1185</v>
      </c>
      <c r="C186" s="4" t="str">
        <f t="shared" ca="1" si="17"/>
        <v>Sugar</v>
      </c>
      <c r="D186" s="4" t="str">
        <f t="shared" ca="1" si="18"/>
        <v>Food</v>
      </c>
      <c r="E186" t="str">
        <f t="shared" ca="1" si="19"/>
        <v>Lagos</v>
      </c>
      <c r="F186">
        <f t="shared" ca="1" si="20"/>
        <v>17</v>
      </c>
      <c r="G186">
        <f t="shared" ca="1" si="21"/>
        <v>6900</v>
      </c>
      <c r="H186">
        <f t="shared" ca="1" si="22"/>
        <v>117300</v>
      </c>
    </row>
    <row r="187" spans="1:8">
      <c r="A187" s="2">
        <f t="shared" ca="1" si="16"/>
        <v>45664</v>
      </c>
      <c r="B187" s="3">
        <f t="shared" si="23"/>
        <v>1186</v>
      </c>
      <c r="C187" s="4" t="str">
        <f t="shared" ca="1" si="17"/>
        <v>Beans</v>
      </c>
      <c r="D187" s="4" t="str">
        <f t="shared" ca="1" si="18"/>
        <v>Beverage</v>
      </c>
      <c r="E187" t="str">
        <f t="shared" ca="1" si="19"/>
        <v>Port Harcourt</v>
      </c>
      <c r="F187">
        <f t="shared" ca="1" si="20"/>
        <v>16</v>
      </c>
      <c r="G187">
        <f t="shared" ca="1" si="21"/>
        <v>3000</v>
      </c>
      <c r="H187">
        <f t="shared" ca="1" si="22"/>
        <v>48000</v>
      </c>
    </row>
    <row r="188" spans="1:8">
      <c r="A188" s="2">
        <f t="shared" ca="1" si="16"/>
        <v>45673</v>
      </c>
      <c r="B188" s="3">
        <f t="shared" si="23"/>
        <v>1187</v>
      </c>
      <c r="C188" s="4" t="str">
        <f t="shared" ca="1" si="17"/>
        <v>Bread</v>
      </c>
      <c r="D188" s="4" t="str">
        <f t="shared" ca="1" si="18"/>
        <v>Food</v>
      </c>
      <c r="E188" t="str">
        <f t="shared" ca="1" si="19"/>
        <v>Ibadan</v>
      </c>
      <c r="F188">
        <f t="shared" ca="1" si="20"/>
        <v>15</v>
      </c>
      <c r="G188">
        <f t="shared" ca="1" si="21"/>
        <v>1700</v>
      </c>
      <c r="H188">
        <f t="shared" ca="1" si="22"/>
        <v>25500</v>
      </c>
    </row>
    <row r="189" spans="1:8">
      <c r="A189" s="2">
        <f t="shared" ca="1" si="16"/>
        <v>45658</v>
      </c>
      <c r="B189" s="3">
        <f t="shared" si="23"/>
        <v>1188</v>
      </c>
      <c r="C189" s="4" t="str">
        <f t="shared" ca="1" si="17"/>
        <v>Beans</v>
      </c>
      <c r="D189" s="4" t="str">
        <f t="shared" ca="1" si="18"/>
        <v>Household</v>
      </c>
      <c r="E189" t="str">
        <f t="shared" ca="1" si="19"/>
        <v>Kano</v>
      </c>
      <c r="F189">
        <f t="shared" ca="1" si="20"/>
        <v>8</v>
      </c>
      <c r="G189">
        <f t="shared" ca="1" si="21"/>
        <v>2100</v>
      </c>
      <c r="H189">
        <f t="shared" ca="1" si="22"/>
        <v>16800</v>
      </c>
    </row>
    <row r="190" spans="1:8">
      <c r="A190" s="2">
        <f t="shared" ca="1" si="16"/>
        <v>45662</v>
      </c>
      <c r="B190" s="3">
        <f t="shared" si="23"/>
        <v>1189</v>
      </c>
      <c r="C190" s="4" t="str">
        <f t="shared" ca="1" si="17"/>
        <v>Cooking Oil</v>
      </c>
      <c r="D190" s="4" t="str">
        <f t="shared" ca="1" si="18"/>
        <v>Food</v>
      </c>
      <c r="E190" t="str">
        <f t="shared" ca="1" si="19"/>
        <v>Lagos</v>
      </c>
      <c r="F190">
        <f t="shared" ca="1" si="20"/>
        <v>14</v>
      </c>
      <c r="G190">
        <f t="shared" ca="1" si="21"/>
        <v>1800</v>
      </c>
      <c r="H190">
        <f t="shared" ca="1" si="22"/>
        <v>25200</v>
      </c>
    </row>
    <row r="191" spans="1:8">
      <c r="A191" s="2">
        <f t="shared" ca="1" si="16"/>
        <v>45666</v>
      </c>
      <c r="B191" s="3">
        <f t="shared" si="23"/>
        <v>1190</v>
      </c>
      <c r="C191" s="4" t="str">
        <f t="shared" ca="1" si="17"/>
        <v>Beans</v>
      </c>
      <c r="D191" s="4" t="str">
        <f t="shared" ca="1" si="18"/>
        <v>Beverage</v>
      </c>
      <c r="E191" t="str">
        <f t="shared" ca="1" si="19"/>
        <v>Kano</v>
      </c>
      <c r="F191">
        <f t="shared" ca="1" si="20"/>
        <v>9</v>
      </c>
      <c r="G191">
        <f t="shared" ca="1" si="21"/>
        <v>4600</v>
      </c>
      <c r="H191">
        <f t="shared" ca="1" si="22"/>
        <v>41400</v>
      </c>
    </row>
    <row r="192" spans="1:8">
      <c r="A192" s="2">
        <f t="shared" ca="1" si="16"/>
        <v>45669</v>
      </c>
      <c r="B192" s="3">
        <f t="shared" si="23"/>
        <v>1191</v>
      </c>
      <c r="C192" s="4" t="str">
        <f t="shared" ca="1" si="17"/>
        <v>Soft Drink</v>
      </c>
      <c r="D192" s="4" t="str">
        <f t="shared" ca="1" si="18"/>
        <v>Food</v>
      </c>
      <c r="E192" t="str">
        <f t="shared" ca="1" si="19"/>
        <v>Ibadan</v>
      </c>
      <c r="F192">
        <f t="shared" ca="1" si="20"/>
        <v>7</v>
      </c>
      <c r="G192">
        <f t="shared" ca="1" si="21"/>
        <v>4200</v>
      </c>
      <c r="H192">
        <f t="shared" ca="1" si="22"/>
        <v>29400</v>
      </c>
    </row>
    <row r="193" spans="1:8">
      <c r="A193" s="2">
        <f t="shared" ca="1" si="16"/>
        <v>45667</v>
      </c>
      <c r="B193" s="3">
        <f t="shared" si="23"/>
        <v>1192</v>
      </c>
      <c r="C193" s="4" t="str">
        <f t="shared" ca="1" si="17"/>
        <v>Soft Drink</v>
      </c>
      <c r="D193" s="4" t="str">
        <f t="shared" ca="1" si="18"/>
        <v>Household</v>
      </c>
      <c r="E193" t="str">
        <f t="shared" ca="1" si="19"/>
        <v>Lagos</v>
      </c>
      <c r="F193">
        <f t="shared" ca="1" si="20"/>
        <v>7</v>
      </c>
      <c r="G193">
        <f t="shared" ca="1" si="21"/>
        <v>1400</v>
      </c>
      <c r="H193">
        <f t="shared" ca="1" si="22"/>
        <v>9800</v>
      </c>
    </row>
    <row r="194" spans="1:8">
      <c r="A194" s="2">
        <f t="shared" ca="1" si="16"/>
        <v>45666</v>
      </c>
      <c r="B194" s="3">
        <f t="shared" si="23"/>
        <v>1193</v>
      </c>
      <c r="C194" s="4" t="str">
        <f t="shared" ca="1" si="17"/>
        <v>Bread</v>
      </c>
      <c r="D194" s="4" t="str">
        <f t="shared" ca="1" si="18"/>
        <v>Household</v>
      </c>
      <c r="E194" t="str">
        <f t="shared" ca="1" si="19"/>
        <v>Kano</v>
      </c>
      <c r="F194">
        <f t="shared" ca="1" si="20"/>
        <v>5</v>
      </c>
      <c r="G194">
        <f t="shared" ca="1" si="21"/>
        <v>4000</v>
      </c>
      <c r="H194">
        <f t="shared" ca="1" si="22"/>
        <v>20000</v>
      </c>
    </row>
    <row r="195" spans="1:8">
      <c r="A195" s="2">
        <f t="shared" ref="A195:A258" ca="1" si="24">DATE(2025,1,RANDBETWEEN(1,28))</f>
        <v>45669</v>
      </c>
      <c r="B195" s="3">
        <f t="shared" si="23"/>
        <v>1194</v>
      </c>
      <c r="C195" s="4" t="str">
        <f t="shared" ref="C195:C258" ca="1" si="25">CHOOSE(RANDBETWEEN(1,8),"Rice","Beans","Cooking Oil","Milk","Bread","Sugar","Noodles","Soft Drink")</f>
        <v>Soft Drink</v>
      </c>
      <c r="D195" s="4" t="str">
        <f t="shared" ref="D195:D258" ca="1" si="26">CHOOSE(RANDBETWEEN(1,3),"Food","Beverage","Household")</f>
        <v>Beverage</v>
      </c>
      <c r="E195" t="str">
        <f t="shared" ref="E195:E258" ca="1" si="27">CHOOSE(RANDBETWEEN(1,5),"Lagos","Abuja","Port Harcourt","Ibadan","Kano")</f>
        <v>Lagos</v>
      </c>
      <c r="F195">
        <f t="shared" ref="F195:F258" ca="1" si="28">RANDBETWEEN(1,20)</f>
        <v>6</v>
      </c>
      <c r="G195">
        <f t="shared" ref="G195:G258" ca="1" si="29">ROUND(RANDBETWEEN(500,7000)/100,0)*100</f>
        <v>4200</v>
      </c>
      <c r="H195">
        <f t="shared" ref="H195:H258" ca="1" si="30">F195*G195</f>
        <v>25200</v>
      </c>
    </row>
    <row r="196" spans="1:8">
      <c r="A196" s="2">
        <f t="shared" ca="1" si="24"/>
        <v>45678</v>
      </c>
      <c r="B196" s="3">
        <f t="shared" ref="B196:B259" si="31">B195+1</f>
        <v>1195</v>
      </c>
      <c r="C196" s="4" t="str">
        <f t="shared" ca="1" si="25"/>
        <v>Sugar</v>
      </c>
      <c r="D196" s="4" t="str">
        <f t="shared" ca="1" si="26"/>
        <v>Household</v>
      </c>
      <c r="E196" t="str">
        <f t="shared" ca="1" si="27"/>
        <v>Kano</v>
      </c>
      <c r="F196">
        <f t="shared" ca="1" si="28"/>
        <v>9</v>
      </c>
      <c r="G196">
        <f t="shared" ca="1" si="29"/>
        <v>2400</v>
      </c>
      <c r="H196">
        <f t="shared" ca="1" si="30"/>
        <v>21600</v>
      </c>
    </row>
    <row r="197" spans="1:8">
      <c r="A197" s="2">
        <f t="shared" ca="1" si="24"/>
        <v>45669</v>
      </c>
      <c r="B197" s="3">
        <f t="shared" si="31"/>
        <v>1196</v>
      </c>
      <c r="C197" s="4" t="str">
        <f t="shared" ca="1" si="25"/>
        <v>Cooking Oil</v>
      </c>
      <c r="D197" s="4" t="str">
        <f t="shared" ca="1" si="26"/>
        <v>Beverage</v>
      </c>
      <c r="E197" t="str">
        <f t="shared" ca="1" si="27"/>
        <v>Kano</v>
      </c>
      <c r="F197">
        <f t="shared" ca="1" si="28"/>
        <v>17</v>
      </c>
      <c r="G197">
        <f t="shared" ca="1" si="29"/>
        <v>4600</v>
      </c>
      <c r="H197">
        <f t="shared" ca="1" si="30"/>
        <v>78200</v>
      </c>
    </row>
    <row r="198" spans="1:8">
      <c r="A198" s="2">
        <f t="shared" ca="1" si="24"/>
        <v>45658</v>
      </c>
      <c r="B198" s="3">
        <f t="shared" si="31"/>
        <v>1197</v>
      </c>
      <c r="C198" s="4" t="str">
        <f t="shared" ca="1" si="25"/>
        <v>Cooking Oil</v>
      </c>
      <c r="D198" s="4" t="str">
        <f t="shared" ca="1" si="26"/>
        <v>Beverage</v>
      </c>
      <c r="E198" t="str">
        <f t="shared" ca="1" si="27"/>
        <v>Lagos</v>
      </c>
      <c r="F198">
        <f t="shared" ca="1" si="28"/>
        <v>3</v>
      </c>
      <c r="G198">
        <f t="shared" ca="1" si="29"/>
        <v>2900</v>
      </c>
      <c r="H198">
        <f t="shared" ca="1" si="30"/>
        <v>8700</v>
      </c>
    </row>
    <row r="199" spans="1:8">
      <c r="A199" s="2">
        <f t="shared" ca="1" si="24"/>
        <v>45667</v>
      </c>
      <c r="B199" s="3">
        <f t="shared" si="31"/>
        <v>1198</v>
      </c>
      <c r="C199" s="4" t="str">
        <f t="shared" ca="1" si="25"/>
        <v>Sugar</v>
      </c>
      <c r="D199" s="4" t="str">
        <f t="shared" ca="1" si="26"/>
        <v>Beverage</v>
      </c>
      <c r="E199" t="str">
        <f t="shared" ca="1" si="27"/>
        <v>Kano</v>
      </c>
      <c r="F199">
        <f t="shared" ca="1" si="28"/>
        <v>12</v>
      </c>
      <c r="G199">
        <f t="shared" ca="1" si="29"/>
        <v>2700</v>
      </c>
      <c r="H199">
        <f t="shared" ca="1" si="30"/>
        <v>32400</v>
      </c>
    </row>
    <row r="200" spans="1:8">
      <c r="A200" s="2">
        <f t="shared" ca="1" si="24"/>
        <v>45665</v>
      </c>
      <c r="B200" s="3">
        <f t="shared" si="31"/>
        <v>1199</v>
      </c>
      <c r="C200" s="4" t="str">
        <f t="shared" ca="1" si="25"/>
        <v>Beans</v>
      </c>
      <c r="D200" s="4" t="str">
        <f t="shared" ca="1" si="26"/>
        <v>Beverage</v>
      </c>
      <c r="E200" t="str">
        <f t="shared" ca="1" si="27"/>
        <v>Kano</v>
      </c>
      <c r="F200">
        <f t="shared" ca="1" si="28"/>
        <v>9</v>
      </c>
      <c r="G200">
        <f t="shared" ca="1" si="29"/>
        <v>2500</v>
      </c>
      <c r="H200">
        <f t="shared" ca="1" si="30"/>
        <v>22500</v>
      </c>
    </row>
    <row r="201" spans="1:8">
      <c r="A201" s="2">
        <f t="shared" ca="1" si="24"/>
        <v>45660</v>
      </c>
      <c r="B201" s="3">
        <f t="shared" si="31"/>
        <v>1200</v>
      </c>
      <c r="C201" s="4" t="str">
        <f t="shared" ca="1" si="25"/>
        <v>Rice</v>
      </c>
      <c r="D201" s="4" t="str">
        <f t="shared" ca="1" si="26"/>
        <v>Household</v>
      </c>
      <c r="E201" t="str">
        <f t="shared" ca="1" si="27"/>
        <v>Ibadan</v>
      </c>
      <c r="F201">
        <f t="shared" ca="1" si="28"/>
        <v>16</v>
      </c>
      <c r="G201">
        <f t="shared" ca="1" si="29"/>
        <v>5500</v>
      </c>
      <c r="H201">
        <f t="shared" ca="1" si="30"/>
        <v>88000</v>
      </c>
    </row>
    <row r="202" spans="1:8">
      <c r="A202" s="2">
        <f t="shared" ca="1" si="24"/>
        <v>45659</v>
      </c>
      <c r="B202" s="3">
        <f t="shared" si="31"/>
        <v>1201</v>
      </c>
      <c r="C202" s="4" t="str">
        <f t="shared" ca="1" si="25"/>
        <v>Rice</v>
      </c>
      <c r="D202" s="4" t="str">
        <f t="shared" ca="1" si="26"/>
        <v>Household</v>
      </c>
      <c r="E202" t="str">
        <f t="shared" ca="1" si="27"/>
        <v>Lagos</v>
      </c>
      <c r="F202">
        <f t="shared" ca="1" si="28"/>
        <v>11</v>
      </c>
      <c r="G202">
        <f t="shared" ca="1" si="29"/>
        <v>600</v>
      </c>
      <c r="H202">
        <f t="shared" ca="1" si="30"/>
        <v>6600</v>
      </c>
    </row>
    <row r="203" spans="1:8">
      <c r="A203" s="2">
        <f t="shared" ca="1" si="24"/>
        <v>45672</v>
      </c>
      <c r="B203" s="3">
        <f t="shared" si="31"/>
        <v>1202</v>
      </c>
      <c r="C203" s="4" t="str">
        <f t="shared" ca="1" si="25"/>
        <v>Sugar</v>
      </c>
      <c r="D203" s="4" t="str">
        <f t="shared" ca="1" si="26"/>
        <v>Household</v>
      </c>
      <c r="E203" t="str">
        <f t="shared" ca="1" si="27"/>
        <v>Kano</v>
      </c>
      <c r="F203">
        <f t="shared" ca="1" si="28"/>
        <v>17</v>
      </c>
      <c r="G203">
        <f t="shared" ca="1" si="29"/>
        <v>5600</v>
      </c>
      <c r="H203">
        <f t="shared" ca="1" si="30"/>
        <v>95200</v>
      </c>
    </row>
    <row r="204" spans="1:8">
      <c r="A204" s="2">
        <f t="shared" ca="1" si="24"/>
        <v>45659</v>
      </c>
      <c r="B204" s="3">
        <f t="shared" si="31"/>
        <v>1203</v>
      </c>
      <c r="C204" s="4" t="str">
        <f t="shared" ca="1" si="25"/>
        <v>Milk</v>
      </c>
      <c r="D204" s="4" t="str">
        <f t="shared" ca="1" si="26"/>
        <v>Household</v>
      </c>
      <c r="E204" t="str">
        <f t="shared" ca="1" si="27"/>
        <v>Abuja</v>
      </c>
      <c r="F204">
        <f t="shared" ca="1" si="28"/>
        <v>6</v>
      </c>
      <c r="G204">
        <f t="shared" ca="1" si="29"/>
        <v>6200</v>
      </c>
      <c r="H204">
        <f t="shared" ca="1" si="30"/>
        <v>37200</v>
      </c>
    </row>
    <row r="205" spans="1:8">
      <c r="A205" s="2">
        <f t="shared" ca="1" si="24"/>
        <v>45673</v>
      </c>
      <c r="B205" s="3">
        <f t="shared" si="31"/>
        <v>1204</v>
      </c>
      <c r="C205" s="4" t="str">
        <f t="shared" ca="1" si="25"/>
        <v>Noodles</v>
      </c>
      <c r="D205" s="4" t="str">
        <f t="shared" ca="1" si="26"/>
        <v>Beverage</v>
      </c>
      <c r="E205" t="str">
        <f t="shared" ca="1" si="27"/>
        <v>Ibadan</v>
      </c>
      <c r="F205">
        <f t="shared" ca="1" si="28"/>
        <v>20</v>
      </c>
      <c r="G205">
        <f t="shared" ca="1" si="29"/>
        <v>2900</v>
      </c>
      <c r="H205">
        <f t="shared" ca="1" si="30"/>
        <v>58000</v>
      </c>
    </row>
    <row r="206" spans="1:8">
      <c r="A206" s="2">
        <f t="shared" ca="1" si="24"/>
        <v>45679</v>
      </c>
      <c r="B206" s="3">
        <f t="shared" si="31"/>
        <v>1205</v>
      </c>
      <c r="C206" s="4" t="str">
        <f t="shared" ca="1" si="25"/>
        <v>Rice</v>
      </c>
      <c r="D206" s="4" t="str">
        <f t="shared" ca="1" si="26"/>
        <v>Household</v>
      </c>
      <c r="E206" t="str">
        <f t="shared" ca="1" si="27"/>
        <v>Lagos</v>
      </c>
      <c r="F206">
        <f t="shared" ca="1" si="28"/>
        <v>18</v>
      </c>
      <c r="G206">
        <f t="shared" ca="1" si="29"/>
        <v>3000</v>
      </c>
      <c r="H206">
        <f t="shared" ca="1" si="30"/>
        <v>54000</v>
      </c>
    </row>
    <row r="207" spans="1:8">
      <c r="A207" s="2">
        <f t="shared" ca="1" si="24"/>
        <v>45666</v>
      </c>
      <c r="B207" s="3">
        <f t="shared" si="31"/>
        <v>1206</v>
      </c>
      <c r="C207" s="4" t="str">
        <f t="shared" ca="1" si="25"/>
        <v>Bread</v>
      </c>
      <c r="D207" s="4" t="str">
        <f t="shared" ca="1" si="26"/>
        <v>Beverage</v>
      </c>
      <c r="E207" t="str">
        <f t="shared" ca="1" si="27"/>
        <v>Ibadan</v>
      </c>
      <c r="F207">
        <f t="shared" ca="1" si="28"/>
        <v>16</v>
      </c>
      <c r="G207">
        <f t="shared" ca="1" si="29"/>
        <v>3100</v>
      </c>
      <c r="H207">
        <f t="shared" ca="1" si="30"/>
        <v>49600</v>
      </c>
    </row>
    <row r="208" spans="1:8">
      <c r="A208" s="2">
        <f t="shared" ca="1" si="24"/>
        <v>45661</v>
      </c>
      <c r="B208" s="3">
        <f t="shared" si="31"/>
        <v>1207</v>
      </c>
      <c r="C208" s="4" t="str">
        <f t="shared" ca="1" si="25"/>
        <v>Sugar</v>
      </c>
      <c r="D208" s="4" t="str">
        <f t="shared" ca="1" si="26"/>
        <v>Beverage</v>
      </c>
      <c r="E208" t="str">
        <f t="shared" ca="1" si="27"/>
        <v>Ibadan</v>
      </c>
      <c r="F208">
        <f t="shared" ca="1" si="28"/>
        <v>20</v>
      </c>
      <c r="G208">
        <f t="shared" ca="1" si="29"/>
        <v>6500</v>
      </c>
      <c r="H208">
        <f t="shared" ca="1" si="30"/>
        <v>130000</v>
      </c>
    </row>
    <row r="209" spans="1:8">
      <c r="A209" s="2">
        <f t="shared" ca="1" si="24"/>
        <v>45663</v>
      </c>
      <c r="B209" s="3">
        <f t="shared" si="31"/>
        <v>1208</v>
      </c>
      <c r="C209" s="4" t="str">
        <f t="shared" ca="1" si="25"/>
        <v>Sugar</v>
      </c>
      <c r="D209" s="4" t="str">
        <f t="shared" ca="1" si="26"/>
        <v>Beverage</v>
      </c>
      <c r="E209" t="str">
        <f t="shared" ca="1" si="27"/>
        <v>Lagos</v>
      </c>
      <c r="F209">
        <f t="shared" ca="1" si="28"/>
        <v>11</v>
      </c>
      <c r="G209">
        <f t="shared" ca="1" si="29"/>
        <v>3500</v>
      </c>
      <c r="H209">
        <f t="shared" ca="1" si="30"/>
        <v>38500</v>
      </c>
    </row>
    <row r="210" spans="1:8">
      <c r="A210" s="2">
        <f t="shared" ca="1" si="24"/>
        <v>45680</v>
      </c>
      <c r="B210" s="3">
        <f t="shared" si="31"/>
        <v>1209</v>
      </c>
      <c r="C210" s="4" t="str">
        <f t="shared" ca="1" si="25"/>
        <v>Noodles</v>
      </c>
      <c r="D210" s="4" t="str">
        <f t="shared" ca="1" si="26"/>
        <v>Beverage</v>
      </c>
      <c r="E210" t="str">
        <f t="shared" ca="1" si="27"/>
        <v>Lagos</v>
      </c>
      <c r="F210">
        <f t="shared" ca="1" si="28"/>
        <v>14</v>
      </c>
      <c r="G210">
        <f t="shared" ca="1" si="29"/>
        <v>4800</v>
      </c>
      <c r="H210">
        <f t="shared" ca="1" si="30"/>
        <v>67200</v>
      </c>
    </row>
    <row r="211" spans="1:8">
      <c r="A211" s="2">
        <f t="shared" ca="1" si="24"/>
        <v>45682</v>
      </c>
      <c r="B211" s="3">
        <f t="shared" si="31"/>
        <v>1210</v>
      </c>
      <c r="C211" s="4" t="str">
        <f t="shared" ca="1" si="25"/>
        <v>Bread</v>
      </c>
      <c r="D211" s="4" t="str">
        <f t="shared" ca="1" si="26"/>
        <v>Food</v>
      </c>
      <c r="E211" t="str">
        <f t="shared" ca="1" si="27"/>
        <v>Lagos</v>
      </c>
      <c r="F211">
        <f t="shared" ca="1" si="28"/>
        <v>13</v>
      </c>
      <c r="G211">
        <f t="shared" ca="1" si="29"/>
        <v>5300</v>
      </c>
      <c r="H211">
        <f t="shared" ca="1" si="30"/>
        <v>68900</v>
      </c>
    </row>
    <row r="212" spans="1:8">
      <c r="A212" s="2">
        <f t="shared" ca="1" si="24"/>
        <v>45683</v>
      </c>
      <c r="B212" s="3">
        <f t="shared" si="31"/>
        <v>1211</v>
      </c>
      <c r="C212" s="4" t="str">
        <f t="shared" ca="1" si="25"/>
        <v>Noodles</v>
      </c>
      <c r="D212" s="4" t="str">
        <f t="shared" ca="1" si="26"/>
        <v>Household</v>
      </c>
      <c r="E212" t="str">
        <f t="shared" ca="1" si="27"/>
        <v>Abuja</v>
      </c>
      <c r="F212">
        <f t="shared" ca="1" si="28"/>
        <v>11</v>
      </c>
      <c r="G212">
        <f t="shared" ca="1" si="29"/>
        <v>3000</v>
      </c>
      <c r="H212">
        <f t="shared" ca="1" si="30"/>
        <v>33000</v>
      </c>
    </row>
    <row r="213" spans="1:8">
      <c r="A213" s="2">
        <f t="shared" ca="1" si="24"/>
        <v>45681</v>
      </c>
      <c r="B213" s="3">
        <f t="shared" si="31"/>
        <v>1212</v>
      </c>
      <c r="C213" s="4" t="str">
        <f t="shared" ca="1" si="25"/>
        <v>Bread</v>
      </c>
      <c r="D213" s="4" t="str">
        <f t="shared" ca="1" si="26"/>
        <v>Beverage</v>
      </c>
      <c r="E213" t="str">
        <f t="shared" ca="1" si="27"/>
        <v>Abuja</v>
      </c>
      <c r="F213">
        <f t="shared" ca="1" si="28"/>
        <v>8</v>
      </c>
      <c r="G213">
        <f t="shared" ca="1" si="29"/>
        <v>4500</v>
      </c>
      <c r="H213">
        <f t="shared" ca="1" si="30"/>
        <v>36000</v>
      </c>
    </row>
    <row r="214" spans="1:8">
      <c r="A214" s="2">
        <f t="shared" ca="1" si="24"/>
        <v>45680</v>
      </c>
      <c r="B214" s="3">
        <f t="shared" si="31"/>
        <v>1213</v>
      </c>
      <c r="C214" s="4" t="str">
        <f t="shared" ca="1" si="25"/>
        <v>Bread</v>
      </c>
      <c r="D214" s="4" t="str">
        <f t="shared" ca="1" si="26"/>
        <v>Beverage</v>
      </c>
      <c r="E214" t="str">
        <f t="shared" ca="1" si="27"/>
        <v>Abuja</v>
      </c>
      <c r="F214">
        <f t="shared" ca="1" si="28"/>
        <v>10</v>
      </c>
      <c r="G214">
        <f t="shared" ca="1" si="29"/>
        <v>1700</v>
      </c>
      <c r="H214">
        <f t="shared" ca="1" si="30"/>
        <v>17000</v>
      </c>
    </row>
    <row r="215" spans="1:8">
      <c r="A215" s="2">
        <f t="shared" ca="1" si="24"/>
        <v>45684</v>
      </c>
      <c r="B215" s="3">
        <f t="shared" si="31"/>
        <v>1214</v>
      </c>
      <c r="C215" s="4" t="str">
        <f t="shared" ca="1" si="25"/>
        <v>Bread</v>
      </c>
      <c r="D215" s="4" t="str">
        <f t="shared" ca="1" si="26"/>
        <v>Beverage</v>
      </c>
      <c r="E215" t="str">
        <f t="shared" ca="1" si="27"/>
        <v>Kano</v>
      </c>
      <c r="F215">
        <f t="shared" ca="1" si="28"/>
        <v>19</v>
      </c>
      <c r="G215">
        <f t="shared" ca="1" si="29"/>
        <v>6800</v>
      </c>
      <c r="H215">
        <f t="shared" ca="1" si="30"/>
        <v>129200</v>
      </c>
    </row>
    <row r="216" spans="1:8">
      <c r="A216" s="2">
        <f t="shared" ca="1" si="24"/>
        <v>45671</v>
      </c>
      <c r="B216" s="3">
        <f t="shared" si="31"/>
        <v>1215</v>
      </c>
      <c r="C216" s="4" t="str">
        <f t="shared" ca="1" si="25"/>
        <v>Sugar</v>
      </c>
      <c r="D216" s="4" t="str">
        <f t="shared" ca="1" si="26"/>
        <v>Food</v>
      </c>
      <c r="E216" t="str">
        <f t="shared" ca="1" si="27"/>
        <v>Kano</v>
      </c>
      <c r="F216">
        <f t="shared" ca="1" si="28"/>
        <v>17</v>
      </c>
      <c r="G216">
        <f t="shared" ca="1" si="29"/>
        <v>5400</v>
      </c>
      <c r="H216">
        <f t="shared" ca="1" si="30"/>
        <v>91800</v>
      </c>
    </row>
    <row r="217" spans="1:8">
      <c r="A217" s="2">
        <f t="shared" ca="1" si="24"/>
        <v>45664</v>
      </c>
      <c r="B217" s="3">
        <f t="shared" si="31"/>
        <v>1216</v>
      </c>
      <c r="C217" s="4" t="str">
        <f t="shared" ca="1" si="25"/>
        <v>Soft Drink</v>
      </c>
      <c r="D217" s="4" t="str">
        <f t="shared" ca="1" si="26"/>
        <v>Food</v>
      </c>
      <c r="E217" t="str">
        <f t="shared" ca="1" si="27"/>
        <v>Lagos</v>
      </c>
      <c r="F217">
        <f t="shared" ca="1" si="28"/>
        <v>1</v>
      </c>
      <c r="G217">
        <f t="shared" ca="1" si="29"/>
        <v>3700</v>
      </c>
      <c r="H217">
        <f t="shared" ca="1" si="30"/>
        <v>3700</v>
      </c>
    </row>
    <row r="218" spans="1:8">
      <c r="A218" s="2">
        <f t="shared" ca="1" si="24"/>
        <v>45685</v>
      </c>
      <c r="B218" s="3">
        <f t="shared" si="31"/>
        <v>1217</v>
      </c>
      <c r="C218" s="4" t="str">
        <f t="shared" ca="1" si="25"/>
        <v>Beans</v>
      </c>
      <c r="D218" s="4" t="str">
        <f t="shared" ca="1" si="26"/>
        <v>Food</v>
      </c>
      <c r="E218" t="str">
        <f t="shared" ca="1" si="27"/>
        <v>Port Harcourt</v>
      </c>
      <c r="F218">
        <f t="shared" ca="1" si="28"/>
        <v>18</v>
      </c>
      <c r="G218">
        <f t="shared" ca="1" si="29"/>
        <v>3100</v>
      </c>
      <c r="H218">
        <f t="shared" ca="1" si="30"/>
        <v>55800</v>
      </c>
    </row>
    <row r="219" spans="1:8">
      <c r="A219" s="2">
        <f t="shared" ca="1" si="24"/>
        <v>45667</v>
      </c>
      <c r="B219" s="3">
        <f t="shared" si="31"/>
        <v>1218</v>
      </c>
      <c r="C219" s="4" t="str">
        <f t="shared" ca="1" si="25"/>
        <v>Rice</v>
      </c>
      <c r="D219" s="4" t="str">
        <f t="shared" ca="1" si="26"/>
        <v>Food</v>
      </c>
      <c r="E219" t="str">
        <f t="shared" ca="1" si="27"/>
        <v>Abuja</v>
      </c>
      <c r="F219">
        <f t="shared" ca="1" si="28"/>
        <v>11</v>
      </c>
      <c r="G219">
        <f t="shared" ca="1" si="29"/>
        <v>3000</v>
      </c>
      <c r="H219">
        <f t="shared" ca="1" si="30"/>
        <v>33000</v>
      </c>
    </row>
    <row r="220" spans="1:8">
      <c r="A220" s="2">
        <f t="shared" ca="1" si="24"/>
        <v>45674</v>
      </c>
      <c r="B220" s="3">
        <f t="shared" si="31"/>
        <v>1219</v>
      </c>
      <c r="C220" s="4" t="str">
        <f t="shared" ca="1" si="25"/>
        <v>Milk</v>
      </c>
      <c r="D220" s="4" t="str">
        <f t="shared" ca="1" si="26"/>
        <v>Household</v>
      </c>
      <c r="E220" t="str">
        <f t="shared" ca="1" si="27"/>
        <v>Lagos</v>
      </c>
      <c r="F220">
        <f t="shared" ca="1" si="28"/>
        <v>16</v>
      </c>
      <c r="G220">
        <f t="shared" ca="1" si="29"/>
        <v>6900</v>
      </c>
      <c r="H220">
        <f t="shared" ca="1" si="30"/>
        <v>110400</v>
      </c>
    </row>
    <row r="221" spans="1:8">
      <c r="A221" s="2">
        <f t="shared" ca="1" si="24"/>
        <v>45661</v>
      </c>
      <c r="B221" s="3">
        <f t="shared" si="31"/>
        <v>1220</v>
      </c>
      <c r="C221" s="4" t="str">
        <f t="shared" ca="1" si="25"/>
        <v>Bread</v>
      </c>
      <c r="D221" s="4" t="str">
        <f t="shared" ca="1" si="26"/>
        <v>Beverage</v>
      </c>
      <c r="E221" t="str">
        <f t="shared" ca="1" si="27"/>
        <v>Kano</v>
      </c>
      <c r="F221">
        <f t="shared" ca="1" si="28"/>
        <v>6</v>
      </c>
      <c r="G221">
        <f t="shared" ca="1" si="29"/>
        <v>5600</v>
      </c>
      <c r="H221">
        <f t="shared" ca="1" si="30"/>
        <v>33600</v>
      </c>
    </row>
    <row r="222" spans="1:8">
      <c r="A222" s="2">
        <f t="shared" ca="1" si="24"/>
        <v>45670</v>
      </c>
      <c r="B222" s="3">
        <f t="shared" si="31"/>
        <v>1221</v>
      </c>
      <c r="C222" s="4" t="str">
        <f t="shared" ca="1" si="25"/>
        <v>Beans</v>
      </c>
      <c r="D222" s="4" t="str">
        <f t="shared" ca="1" si="26"/>
        <v>Household</v>
      </c>
      <c r="E222" t="str">
        <f t="shared" ca="1" si="27"/>
        <v>Kano</v>
      </c>
      <c r="F222">
        <f t="shared" ca="1" si="28"/>
        <v>7</v>
      </c>
      <c r="G222">
        <f t="shared" ca="1" si="29"/>
        <v>2000</v>
      </c>
      <c r="H222">
        <f t="shared" ca="1" si="30"/>
        <v>14000</v>
      </c>
    </row>
    <row r="223" spans="1:8">
      <c r="A223" s="2">
        <f t="shared" ca="1" si="24"/>
        <v>45662</v>
      </c>
      <c r="B223" s="3">
        <f t="shared" si="31"/>
        <v>1222</v>
      </c>
      <c r="C223" s="4" t="str">
        <f t="shared" ca="1" si="25"/>
        <v>Soft Drink</v>
      </c>
      <c r="D223" s="4" t="str">
        <f t="shared" ca="1" si="26"/>
        <v>Household</v>
      </c>
      <c r="E223" t="str">
        <f t="shared" ca="1" si="27"/>
        <v>Port Harcourt</v>
      </c>
      <c r="F223">
        <f t="shared" ca="1" si="28"/>
        <v>7</v>
      </c>
      <c r="G223">
        <f t="shared" ca="1" si="29"/>
        <v>3500</v>
      </c>
      <c r="H223">
        <f t="shared" ca="1" si="30"/>
        <v>24500</v>
      </c>
    </row>
    <row r="224" spans="1:8">
      <c r="A224" s="2">
        <f t="shared" ca="1" si="24"/>
        <v>45678</v>
      </c>
      <c r="B224" s="3">
        <f t="shared" si="31"/>
        <v>1223</v>
      </c>
      <c r="C224" s="4" t="str">
        <f t="shared" ca="1" si="25"/>
        <v>Beans</v>
      </c>
      <c r="D224" s="4" t="str">
        <f t="shared" ca="1" si="26"/>
        <v>Food</v>
      </c>
      <c r="E224" t="str">
        <f t="shared" ca="1" si="27"/>
        <v>Kano</v>
      </c>
      <c r="F224">
        <f t="shared" ca="1" si="28"/>
        <v>13</v>
      </c>
      <c r="G224">
        <f t="shared" ca="1" si="29"/>
        <v>4300</v>
      </c>
      <c r="H224">
        <f t="shared" ca="1" si="30"/>
        <v>55900</v>
      </c>
    </row>
    <row r="225" spans="1:8">
      <c r="A225" s="2">
        <f t="shared" ca="1" si="24"/>
        <v>45671</v>
      </c>
      <c r="B225" s="3">
        <f t="shared" si="31"/>
        <v>1224</v>
      </c>
      <c r="C225" s="4" t="str">
        <f t="shared" ca="1" si="25"/>
        <v>Rice</v>
      </c>
      <c r="D225" s="4" t="str">
        <f t="shared" ca="1" si="26"/>
        <v>Household</v>
      </c>
      <c r="E225" t="str">
        <f t="shared" ca="1" si="27"/>
        <v>Kano</v>
      </c>
      <c r="F225">
        <f t="shared" ca="1" si="28"/>
        <v>2</v>
      </c>
      <c r="G225">
        <f t="shared" ca="1" si="29"/>
        <v>1500</v>
      </c>
      <c r="H225">
        <f t="shared" ca="1" si="30"/>
        <v>3000</v>
      </c>
    </row>
    <row r="226" spans="1:8">
      <c r="A226" s="2">
        <f t="shared" ca="1" si="24"/>
        <v>45665</v>
      </c>
      <c r="B226" s="3">
        <f t="shared" si="31"/>
        <v>1225</v>
      </c>
      <c r="C226" s="4" t="str">
        <f t="shared" ca="1" si="25"/>
        <v>Rice</v>
      </c>
      <c r="D226" s="4" t="str">
        <f t="shared" ca="1" si="26"/>
        <v>Food</v>
      </c>
      <c r="E226" t="str">
        <f t="shared" ca="1" si="27"/>
        <v>Kano</v>
      </c>
      <c r="F226">
        <f t="shared" ca="1" si="28"/>
        <v>20</v>
      </c>
      <c r="G226">
        <f t="shared" ca="1" si="29"/>
        <v>1900</v>
      </c>
      <c r="H226">
        <f t="shared" ca="1" si="30"/>
        <v>38000</v>
      </c>
    </row>
    <row r="227" spans="1:8">
      <c r="A227" s="2">
        <f t="shared" ca="1" si="24"/>
        <v>45677</v>
      </c>
      <c r="B227" s="3">
        <f t="shared" si="31"/>
        <v>1226</v>
      </c>
      <c r="C227" s="4" t="str">
        <f t="shared" ca="1" si="25"/>
        <v>Beans</v>
      </c>
      <c r="D227" s="4" t="str">
        <f t="shared" ca="1" si="26"/>
        <v>Food</v>
      </c>
      <c r="E227" t="str">
        <f t="shared" ca="1" si="27"/>
        <v>Lagos</v>
      </c>
      <c r="F227">
        <f t="shared" ca="1" si="28"/>
        <v>6</v>
      </c>
      <c r="G227">
        <f t="shared" ca="1" si="29"/>
        <v>4600</v>
      </c>
      <c r="H227">
        <f t="shared" ca="1" si="30"/>
        <v>27600</v>
      </c>
    </row>
    <row r="228" spans="1:8">
      <c r="A228" s="2">
        <f t="shared" ca="1" si="24"/>
        <v>45672</v>
      </c>
      <c r="B228" s="3">
        <f t="shared" si="31"/>
        <v>1227</v>
      </c>
      <c r="C228" s="4" t="str">
        <f t="shared" ca="1" si="25"/>
        <v>Cooking Oil</v>
      </c>
      <c r="D228" s="4" t="str">
        <f t="shared" ca="1" si="26"/>
        <v>Household</v>
      </c>
      <c r="E228" t="str">
        <f t="shared" ca="1" si="27"/>
        <v>Kano</v>
      </c>
      <c r="F228">
        <f t="shared" ca="1" si="28"/>
        <v>7</v>
      </c>
      <c r="G228">
        <f t="shared" ca="1" si="29"/>
        <v>3700</v>
      </c>
      <c r="H228">
        <f t="shared" ca="1" si="30"/>
        <v>25900</v>
      </c>
    </row>
    <row r="229" spans="1:8">
      <c r="A229" s="2">
        <f t="shared" ca="1" si="24"/>
        <v>45666</v>
      </c>
      <c r="B229" s="3">
        <f t="shared" si="31"/>
        <v>1228</v>
      </c>
      <c r="C229" s="4" t="str">
        <f t="shared" ca="1" si="25"/>
        <v>Noodles</v>
      </c>
      <c r="D229" s="4" t="str">
        <f t="shared" ca="1" si="26"/>
        <v>Food</v>
      </c>
      <c r="E229" t="str">
        <f t="shared" ca="1" si="27"/>
        <v>Port Harcourt</v>
      </c>
      <c r="F229">
        <f t="shared" ca="1" si="28"/>
        <v>2</v>
      </c>
      <c r="G229">
        <f t="shared" ca="1" si="29"/>
        <v>4900</v>
      </c>
      <c r="H229">
        <f t="shared" ca="1" si="30"/>
        <v>9800</v>
      </c>
    </row>
    <row r="230" spans="1:8">
      <c r="A230" s="2">
        <f t="shared" ca="1" si="24"/>
        <v>45675</v>
      </c>
      <c r="B230" s="3">
        <f t="shared" si="31"/>
        <v>1229</v>
      </c>
      <c r="C230" s="4" t="str">
        <f t="shared" ca="1" si="25"/>
        <v>Beans</v>
      </c>
      <c r="D230" s="4" t="str">
        <f t="shared" ca="1" si="26"/>
        <v>Household</v>
      </c>
      <c r="E230" t="str">
        <f t="shared" ca="1" si="27"/>
        <v>Port Harcourt</v>
      </c>
      <c r="F230">
        <f t="shared" ca="1" si="28"/>
        <v>6</v>
      </c>
      <c r="G230">
        <f t="shared" ca="1" si="29"/>
        <v>3500</v>
      </c>
      <c r="H230">
        <f t="shared" ca="1" si="30"/>
        <v>21000</v>
      </c>
    </row>
    <row r="231" spans="1:8">
      <c r="A231" s="2">
        <f t="shared" ca="1" si="24"/>
        <v>45672</v>
      </c>
      <c r="B231" s="3">
        <f t="shared" si="31"/>
        <v>1230</v>
      </c>
      <c r="C231" s="4" t="str">
        <f t="shared" ca="1" si="25"/>
        <v>Rice</v>
      </c>
      <c r="D231" s="4" t="str">
        <f t="shared" ca="1" si="26"/>
        <v>Household</v>
      </c>
      <c r="E231" t="str">
        <f t="shared" ca="1" si="27"/>
        <v>Ibadan</v>
      </c>
      <c r="F231">
        <f t="shared" ca="1" si="28"/>
        <v>4</v>
      </c>
      <c r="G231">
        <f t="shared" ca="1" si="29"/>
        <v>3200</v>
      </c>
      <c r="H231">
        <f t="shared" ca="1" si="30"/>
        <v>12800</v>
      </c>
    </row>
    <row r="232" spans="1:8">
      <c r="A232" s="2">
        <f t="shared" ca="1" si="24"/>
        <v>45671</v>
      </c>
      <c r="B232" s="3">
        <f t="shared" si="31"/>
        <v>1231</v>
      </c>
      <c r="C232" s="4" t="str">
        <f t="shared" ca="1" si="25"/>
        <v>Noodles</v>
      </c>
      <c r="D232" s="4" t="str">
        <f t="shared" ca="1" si="26"/>
        <v>Beverage</v>
      </c>
      <c r="E232" t="str">
        <f t="shared" ca="1" si="27"/>
        <v>Lagos</v>
      </c>
      <c r="F232">
        <f t="shared" ca="1" si="28"/>
        <v>1</v>
      </c>
      <c r="G232">
        <f t="shared" ca="1" si="29"/>
        <v>700</v>
      </c>
      <c r="H232">
        <f t="shared" ca="1" si="30"/>
        <v>700</v>
      </c>
    </row>
    <row r="233" spans="1:8">
      <c r="A233" s="2">
        <f t="shared" ca="1" si="24"/>
        <v>45673</v>
      </c>
      <c r="B233" s="3">
        <f t="shared" si="31"/>
        <v>1232</v>
      </c>
      <c r="C233" s="4" t="str">
        <f t="shared" ca="1" si="25"/>
        <v>Rice</v>
      </c>
      <c r="D233" s="4" t="str">
        <f t="shared" ca="1" si="26"/>
        <v>Beverage</v>
      </c>
      <c r="E233" t="str">
        <f t="shared" ca="1" si="27"/>
        <v>Port Harcourt</v>
      </c>
      <c r="F233">
        <f t="shared" ca="1" si="28"/>
        <v>15</v>
      </c>
      <c r="G233">
        <f t="shared" ca="1" si="29"/>
        <v>900</v>
      </c>
      <c r="H233">
        <f t="shared" ca="1" si="30"/>
        <v>13500</v>
      </c>
    </row>
    <row r="234" spans="1:8">
      <c r="A234" s="2">
        <f t="shared" ca="1" si="24"/>
        <v>45668</v>
      </c>
      <c r="B234" s="3">
        <f t="shared" si="31"/>
        <v>1233</v>
      </c>
      <c r="C234" s="4" t="str">
        <f t="shared" ca="1" si="25"/>
        <v>Soft Drink</v>
      </c>
      <c r="D234" s="4" t="str">
        <f t="shared" ca="1" si="26"/>
        <v>Beverage</v>
      </c>
      <c r="E234" t="str">
        <f t="shared" ca="1" si="27"/>
        <v>Abuja</v>
      </c>
      <c r="F234">
        <f t="shared" ca="1" si="28"/>
        <v>10</v>
      </c>
      <c r="G234">
        <f t="shared" ca="1" si="29"/>
        <v>1700</v>
      </c>
      <c r="H234">
        <f t="shared" ca="1" si="30"/>
        <v>17000</v>
      </c>
    </row>
    <row r="235" spans="1:8">
      <c r="A235" s="2">
        <f t="shared" ca="1" si="24"/>
        <v>45664</v>
      </c>
      <c r="B235" s="3">
        <f t="shared" si="31"/>
        <v>1234</v>
      </c>
      <c r="C235" s="4" t="str">
        <f t="shared" ca="1" si="25"/>
        <v>Sugar</v>
      </c>
      <c r="D235" s="4" t="str">
        <f t="shared" ca="1" si="26"/>
        <v>Food</v>
      </c>
      <c r="E235" t="str">
        <f t="shared" ca="1" si="27"/>
        <v>Abuja</v>
      </c>
      <c r="F235">
        <f t="shared" ca="1" si="28"/>
        <v>10</v>
      </c>
      <c r="G235">
        <f t="shared" ca="1" si="29"/>
        <v>3900</v>
      </c>
      <c r="H235">
        <f t="shared" ca="1" si="30"/>
        <v>39000</v>
      </c>
    </row>
    <row r="236" spans="1:8">
      <c r="A236" s="2">
        <f t="shared" ca="1" si="24"/>
        <v>45664</v>
      </c>
      <c r="B236" s="3">
        <f t="shared" si="31"/>
        <v>1235</v>
      </c>
      <c r="C236" s="4" t="str">
        <f t="shared" ca="1" si="25"/>
        <v>Rice</v>
      </c>
      <c r="D236" s="4" t="str">
        <f t="shared" ca="1" si="26"/>
        <v>Household</v>
      </c>
      <c r="E236" t="str">
        <f t="shared" ca="1" si="27"/>
        <v>Abuja</v>
      </c>
      <c r="F236">
        <f t="shared" ca="1" si="28"/>
        <v>14</v>
      </c>
      <c r="G236">
        <f t="shared" ca="1" si="29"/>
        <v>1700</v>
      </c>
      <c r="H236">
        <f t="shared" ca="1" si="30"/>
        <v>23800</v>
      </c>
    </row>
    <row r="237" spans="1:8">
      <c r="A237" s="2">
        <f t="shared" ca="1" si="24"/>
        <v>45684</v>
      </c>
      <c r="B237" s="3">
        <f t="shared" si="31"/>
        <v>1236</v>
      </c>
      <c r="C237" s="4" t="str">
        <f t="shared" ca="1" si="25"/>
        <v>Beans</v>
      </c>
      <c r="D237" s="4" t="str">
        <f t="shared" ca="1" si="26"/>
        <v>Household</v>
      </c>
      <c r="E237" t="str">
        <f t="shared" ca="1" si="27"/>
        <v>Kano</v>
      </c>
      <c r="F237">
        <f t="shared" ca="1" si="28"/>
        <v>1</v>
      </c>
      <c r="G237">
        <f t="shared" ca="1" si="29"/>
        <v>4500</v>
      </c>
      <c r="H237">
        <f t="shared" ca="1" si="30"/>
        <v>4500</v>
      </c>
    </row>
    <row r="238" spans="1:8">
      <c r="A238" s="2">
        <f t="shared" ca="1" si="24"/>
        <v>45679</v>
      </c>
      <c r="B238" s="3">
        <f t="shared" si="31"/>
        <v>1237</v>
      </c>
      <c r="C238" s="4" t="str">
        <f t="shared" ca="1" si="25"/>
        <v>Bread</v>
      </c>
      <c r="D238" s="4" t="str">
        <f t="shared" ca="1" si="26"/>
        <v>Beverage</v>
      </c>
      <c r="E238" t="str">
        <f t="shared" ca="1" si="27"/>
        <v>Ibadan</v>
      </c>
      <c r="F238">
        <f t="shared" ca="1" si="28"/>
        <v>2</v>
      </c>
      <c r="G238">
        <f t="shared" ca="1" si="29"/>
        <v>5900</v>
      </c>
      <c r="H238">
        <f t="shared" ca="1" si="30"/>
        <v>11800</v>
      </c>
    </row>
    <row r="239" spans="1:8">
      <c r="A239" s="2">
        <f t="shared" ca="1" si="24"/>
        <v>45673</v>
      </c>
      <c r="B239" s="3">
        <f t="shared" si="31"/>
        <v>1238</v>
      </c>
      <c r="C239" s="4" t="str">
        <f t="shared" ca="1" si="25"/>
        <v>Noodles</v>
      </c>
      <c r="D239" s="4" t="str">
        <f t="shared" ca="1" si="26"/>
        <v>Beverage</v>
      </c>
      <c r="E239" t="str">
        <f t="shared" ca="1" si="27"/>
        <v>Port Harcourt</v>
      </c>
      <c r="F239">
        <f t="shared" ca="1" si="28"/>
        <v>19</v>
      </c>
      <c r="G239">
        <f t="shared" ca="1" si="29"/>
        <v>6100</v>
      </c>
      <c r="H239">
        <f t="shared" ca="1" si="30"/>
        <v>115900</v>
      </c>
    </row>
    <row r="240" spans="1:8">
      <c r="A240" s="2">
        <f t="shared" ca="1" si="24"/>
        <v>45680</v>
      </c>
      <c r="B240" s="3">
        <f t="shared" si="31"/>
        <v>1239</v>
      </c>
      <c r="C240" s="4" t="str">
        <f t="shared" ca="1" si="25"/>
        <v>Beans</v>
      </c>
      <c r="D240" s="4" t="str">
        <f t="shared" ca="1" si="26"/>
        <v>Household</v>
      </c>
      <c r="E240" t="str">
        <f t="shared" ca="1" si="27"/>
        <v>Ibadan</v>
      </c>
      <c r="F240">
        <f t="shared" ca="1" si="28"/>
        <v>5</v>
      </c>
      <c r="G240">
        <f t="shared" ca="1" si="29"/>
        <v>1500</v>
      </c>
      <c r="H240">
        <f t="shared" ca="1" si="30"/>
        <v>7500</v>
      </c>
    </row>
    <row r="241" spans="1:8">
      <c r="A241" s="2">
        <f t="shared" ca="1" si="24"/>
        <v>45680</v>
      </c>
      <c r="B241" s="3">
        <f t="shared" si="31"/>
        <v>1240</v>
      </c>
      <c r="C241" s="4" t="str">
        <f t="shared" ca="1" si="25"/>
        <v>Sugar</v>
      </c>
      <c r="D241" s="4" t="str">
        <f t="shared" ca="1" si="26"/>
        <v>Household</v>
      </c>
      <c r="E241" t="str">
        <f t="shared" ca="1" si="27"/>
        <v>Ibadan</v>
      </c>
      <c r="F241">
        <f t="shared" ca="1" si="28"/>
        <v>8</v>
      </c>
      <c r="G241">
        <f t="shared" ca="1" si="29"/>
        <v>6800</v>
      </c>
      <c r="H241">
        <f t="shared" ca="1" si="30"/>
        <v>54400</v>
      </c>
    </row>
    <row r="242" spans="1:8">
      <c r="A242" s="2">
        <f t="shared" ca="1" si="24"/>
        <v>45673</v>
      </c>
      <c r="B242" s="3">
        <f t="shared" si="31"/>
        <v>1241</v>
      </c>
      <c r="C242" s="4" t="str">
        <f t="shared" ca="1" si="25"/>
        <v>Soft Drink</v>
      </c>
      <c r="D242" s="4" t="str">
        <f t="shared" ca="1" si="26"/>
        <v>Beverage</v>
      </c>
      <c r="E242" t="str">
        <f t="shared" ca="1" si="27"/>
        <v>Port Harcourt</v>
      </c>
      <c r="F242">
        <f t="shared" ca="1" si="28"/>
        <v>3</v>
      </c>
      <c r="G242">
        <f t="shared" ca="1" si="29"/>
        <v>800</v>
      </c>
      <c r="H242">
        <f t="shared" ca="1" si="30"/>
        <v>2400</v>
      </c>
    </row>
    <row r="243" spans="1:8">
      <c r="A243" s="2">
        <f t="shared" ca="1" si="24"/>
        <v>45679</v>
      </c>
      <c r="B243" s="3">
        <f t="shared" si="31"/>
        <v>1242</v>
      </c>
      <c r="C243" s="4" t="str">
        <f t="shared" ca="1" si="25"/>
        <v>Beans</v>
      </c>
      <c r="D243" s="4" t="str">
        <f t="shared" ca="1" si="26"/>
        <v>Household</v>
      </c>
      <c r="E243" t="str">
        <f t="shared" ca="1" si="27"/>
        <v>Lagos</v>
      </c>
      <c r="F243">
        <f t="shared" ca="1" si="28"/>
        <v>5</v>
      </c>
      <c r="G243">
        <f t="shared" ca="1" si="29"/>
        <v>3700</v>
      </c>
      <c r="H243">
        <f t="shared" ca="1" si="30"/>
        <v>18500</v>
      </c>
    </row>
    <row r="244" spans="1:8">
      <c r="A244" s="2">
        <f t="shared" ca="1" si="24"/>
        <v>45663</v>
      </c>
      <c r="B244" s="3">
        <f t="shared" si="31"/>
        <v>1243</v>
      </c>
      <c r="C244" s="4" t="str">
        <f t="shared" ca="1" si="25"/>
        <v>Beans</v>
      </c>
      <c r="D244" s="4" t="str">
        <f t="shared" ca="1" si="26"/>
        <v>Food</v>
      </c>
      <c r="E244" t="str">
        <f t="shared" ca="1" si="27"/>
        <v>Ibadan</v>
      </c>
      <c r="F244">
        <f t="shared" ca="1" si="28"/>
        <v>16</v>
      </c>
      <c r="G244">
        <f t="shared" ca="1" si="29"/>
        <v>4100</v>
      </c>
      <c r="H244">
        <f t="shared" ca="1" si="30"/>
        <v>65600</v>
      </c>
    </row>
    <row r="245" spans="1:8">
      <c r="A245" s="2">
        <f t="shared" ca="1" si="24"/>
        <v>45678</v>
      </c>
      <c r="B245" s="3">
        <f t="shared" si="31"/>
        <v>1244</v>
      </c>
      <c r="C245" s="4" t="str">
        <f t="shared" ca="1" si="25"/>
        <v>Beans</v>
      </c>
      <c r="D245" s="4" t="str">
        <f t="shared" ca="1" si="26"/>
        <v>Beverage</v>
      </c>
      <c r="E245" t="str">
        <f t="shared" ca="1" si="27"/>
        <v>Abuja</v>
      </c>
      <c r="F245">
        <f t="shared" ca="1" si="28"/>
        <v>3</v>
      </c>
      <c r="G245">
        <f t="shared" ca="1" si="29"/>
        <v>2000</v>
      </c>
      <c r="H245">
        <f t="shared" ca="1" si="30"/>
        <v>6000</v>
      </c>
    </row>
    <row r="246" spans="1:8">
      <c r="A246" s="2">
        <f t="shared" ca="1" si="24"/>
        <v>45660</v>
      </c>
      <c r="B246" s="3">
        <f t="shared" si="31"/>
        <v>1245</v>
      </c>
      <c r="C246" s="4" t="str">
        <f t="shared" ca="1" si="25"/>
        <v>Noodles</v>
      </c>
      <c r="D246" s="4" t="str">
        <f t="shared" ca="1" si="26"/>
        <v>Beverage</v>
      </c>
      <c r="E246" t="str">
        <f t="shared" ca="1" si="27"/>
        <v>Abuja</v>
      </c>
      <c r="F246">
        <f t="shared" ca="1" si="28"/>
        <v>10</v>
      </c>
      <c r="G246">
        <f t="shared" ca="1" si="29"/>
        <v>4400</v>
      </c>
      <c r="H246">
        <f t="shared" ca="1" si="30"/>
        <v>44000</v>
      </c>
    </row>
    <row r="247" spans="1:8">
      <c r="A247" s="2">
        <f t="shared" ca="1" si="24"/>
        <v>45674</v>
      </c>
      <c r="B247" s="3">
        <f t="shared" si="31"/>
        <v>1246</v>
      </c>
      <c r="C247" s="4" t="str">
        <f t="shared" ca="1" si="25"/>
        <v>Bread</v>
      </c>
      <c r="D247" s="4" t="str">
        <f t="shared" ca="1" si="26"/>
        <v>Food</v>
      </c>
      <c r="E247" t="str">
        <f t="shared" ca="1" si="27"/>
        <v>Ibadan</v>
      </c>
      <c r="F247">
        <f t="shared" ca="1" si="28"/>
        <v>2</v>
      </c>
      <c r="G247">
        <f t="shared" ca="1" si="29"/>
        <v>4800</v>
      </c>
      <c r="H247">
        <f t="shared" ca="1" si="30"/>
        <v>9600</v>
      </c>
    </row>
    <row r="248" spans="1:8">
      <c r="A248" s="2">
        <f t="shared" ca="1" si="24"/>
        <v>45664</v>
      </c>
      <c r="B248" s="3">
        <f t="shared" si="31"/>
        <v>1247</v>
      </c>
      <c r="C248" s="4" t="str">
        <f t="shared" ca="1" si="25"/>
        <v>Cooking Oil</v>
      </c>
      <c r="D248" s="4" t="str">
        <f t="shared" ca="1" si="26"/>
        <v>Beverage</v>
      </c>
      <c r="E248" t="str">
        <f t="shared" ca="1" si="27"/>
        <v>Lagos</v>
      </c>
      <c r="F248">
        <f t="shared" ca="1" si="28"/>
        <v>6</v>
      </c>
      <c r="G248">
        <f t="shared" ca="1" si="29"/>
        <v>3400</v>
      </c>
      <c r="H248">
        <f t="shared" ca="1" si="30"/>
        <v>20400</v>
      </c>
    </row>
    <row r="249" spans="1:8">
      <c r="A249" s="2">
        <f t="shared" ca="1" si="24"/>
        <v>45671</v>
      </c>
      <c r="B249" s="3">
        <f t="shared" si="31"/>
        <v>1248</v>
      </c>
      <c r="C249" s="4" t="str">
        <f t="shared" ca="1" si="25"/>
        <v>Sugar</v>
      </c>
      <c r="D249" s="4" t="str">
        <f t="shared" ca="1" si="26"/>
        <v>Food</v>
      </c>
      <c r="E249" t="str">
        <f t="shared" ca="1" si="27"/>
        <v>Ibadan</v>
      </c>
      <c r="F249">
        <f t="shared" ca="1" si="28"/>
        <v>9</v>
      </c>
      <c r="G249">
        <f t="shared" ca="1" si="29"/>
        <v>5500</v>
      </c>
      <c r="H249">
        <f t="shared" ca="1" si="30"/>
        <v>49500</v>
      </c>
    </row>
    <row r="250" spans="1:8">
      <c r="A250" s="2">
        <f t="shared" ca="1" si="24"/>
        <v>45660</v>
      </c>
      <c r="B250" s="3">
        <f t="shared" si="31"/>
        <v>1249</v>
      </c>
      <c r="C250" s="4" t="str">
        <f t="shared" ca="1" si="25"/>
        <v>Beans</v>
      </c>
      <c r="D250" s="4" t="str">
        <f t="shared" ca="1" si="26"/>
        <v>Food</v>
      </c>
      <c r="E250" t="str">
        <f t="shared" ca="1" si="27"/>
        <v>Kano</v>
      </c>
      <c r="F250">
        <f t="shared" ca="1" si="28"/>
        <v>19</v>
      </c>
      <c r="G250">
        <f t="shared" ca="1" si="29"/>
        <v>6700</v>
      </c>
      <c r="H250">
        <f t="shared" ca="1" si="30"/>
        <v>127300</v>
      </c>
    </row>
    <row r="251" spans="1:8">
      <c r="A251" s="2">
        <f t="shared" ca="1" si="24"/>
        <v>45675</v>
      </c>
      <c r="B251" s="3">
        <f t="shared" si="31"/>
        <v>1250</v>
      </c>
      <c r="C251" s="4" t="str">
        <f t="shared" ca="1" si="25"/>
        <v>Sugar</v>
      </c>
      <c r="D251" s="4" t="str">
        <f t="shared" ca="1" si="26"/>
        <v>Household</v>
      </c>
      <c r="E251" t="str">
        <f t="shared" ca="1" si="27"/>
        <v>Port Harcourt</v>
      </c>
      <c r="F251">
        <f t="shared" ca="1" si="28"/>
        <v>2</v>
      </c>
      <c r="G251">
        <f t="shared" ca="1" si="29"/>
        <v>2400</v>
      </c>
      <c r="H251">
        <f t="shared" ca="1" si="30"/>
        <v>4800</v>
      </c>
    </row>
    <row r="252" spans="1:8">
      <c r="A252" s="2">
        <f t="shared" ca="1" si="24"/>
        <v>45677</v>
      </c>
      <c r="B252" s="3">
        <f t="shared" si="31"/>
        <v>1251</v>
      </c>
      <c r="C252" s="4" t="str">
        <f t="shared" ca="1" si="25"/>
        <v>Beans</v>
      </c>
      <c r="D252" s="4" t="str">
        <f t="shared" ca="1" si="26"/>
        <v>Household</v>
      </c>
      <c r="E252" t="str">
        <f t="shared" ca="1" si="27"/>
        <v>Ibadan</v>
      </c>
      <c r="F252">
        <f t="shared" ca="1" si="28"/>
        <v>7</v>
      </c>
      <c r="G252">
        <f t="shared" ca="1" si="29"/>
        <v>2900</v>
      </c>
      <c r="H252">
        <f t="shared" ca="1" si="30"/>
        <v>20300</v>
      </c>
    </row>
    <row r="253" spans="1:8">
      <c r="A253" s="2">
        <f t="shared" ca="1" si="24"/>
        <v>45661</v>
      </c>
      <c r="B253" s="3">
        <f t="shared" si="31"/>
        <v>1252</v>
      </c>
      <c r="C253" s="4" t="str">
        <f t="shared" ca="1" si="25"/>
        <v>Soft Drink</v>
      </c>
      <c r="D253" s="4" t="str">
        <f t="shared" ca="1" si="26"/>
        <v>Household</v>
      </c>
      <c r="E253" t="str">
        <f t="shared" ca="1" si="27"/>
        <v>Abuja</v>
      </c>
      <c r="F253">
        <f t="shared" ca="1" si="28"/>
        <v>5</v>
      </c>
      <c r="G253">
        <f t="shared" ca="1" si="29"/>
        <v>6400</v>
      </c>
      <c r="H253">
        <f t="shared" ca="1" si="30"/>
        <v>32000</v>
      </c>
    </row>
    <row r="254" spans="1:8">
      <c r="A254" s="2">
        <f t="shared" ca="1" si="24"/>
        <v>45676</v>
      </c>
      <c r="B254" s="3">
        <f t="shared" si="31"/>
        <v>1253</v>
      </c>
      <c r="C254" s="4" t="str">
        <f t="shared" ca="1" si="25"/>
        <v>Milk</v>
      </c>
      <c r="D254" s="4" t="str">
        <f t="shared" ca="1" si="26"/>
        <v>Beverage</v>
      </c>
      <c r="E254" t="str">
        <f t="shared" ca="1" si="27"/>
        <v>Lagos</v>
      </c>
      <c r="F254">
        <f t="shared" ca="1" si="28"/>
        <v>9</v>
      </c>
      <c r="G254">
        <f t="shared" ca="1" si="29"/>
        <v>2800</v>
      </c>
      <c r="H254">
        <f t="shared" ca="1" si="30"/>
        <v>25200</v>
      </c>
    </row>
    <row r="255" spans="1:8">
      <c r="A255" s="2">
        <f t="shared" ca="1" si="24"/>
        <v>45682</v>
      </c>
      <c r="B255" s="3">
        <f t="shared" si="31"/>
        <v>1254</v>
      </c>
      <c r="C255" s="4" t="str">
        <f t="shared" ca="1" si="25"/>
        <v>Rice</v>
      </c>
      <c r="D255" s="4" t="str">
        <f t="shared" ca="1" si="26"/>
        <v>Food</v>
      </c>
      <c r="E255" t="str">
        <f t="shared" ca="1" si="27"/>
        <v>Abuja</v>
      </c>
      <c r="F255">
        <f t="shared" ca="1" si="28"/>
        <v>10</v>
      </c>
      <c r="G255">
        <f t="shared" ca="1" si="29"/>
        <v>6600</v>
      </c>
      <c r="H255">
        <f t="shared" ca="1" si="30"/>
        <v>66000</v>
      </c>
    </row>
    <row r="256" spans="1:8">
      <c r="A256" s="2">
        <f t="shared" ca="1" si="24"/>
        <v>45672</v>
      </c>
      <c r="B256" s="3">
        <f t="shared" si="31"/>
        <v>1255</v>
      </c>
      <c r="C256" s="4" t="str">
        <f t="shared" ca="1" si="25"/>
        <v>Milk</v>
      </c>
      <c r="D256" s="4" t="str">
        <f t="shared" ca="1" si="26"/>
        <v>Beverage</v>
      </c>
      <c r="E256" t="str">
        <f t="shared" ca="1" si="27"/>
        <v>Abuja</v>
      </c>
      <c r="F256">
        <f t="shared" ca="1" si="28"/>
        <v>9</v>
      </c>
      <c r="G256">
        <f t="shared" ca="1" si="29"/>
        <v>4200</v>
      </c>
      <c r="H256">
        <f t="shared" ca="1" si="30"/>
        <v>37800</v>
      </c>
    </row>
    <row r="257" spans="1:8">
      <c r="A257" s="2">
        <f t="shared" ca="1" si="24"/>
        <v>45674</v>
      </c>
      <c r="B257" s="3">
        <f t="shared" si="31"/>
        <v>1256</v>
      </c>
      <c r="C257" s="4" t="str">
        <f t="shared" ca="1" si="25"/>
        <v>Beans</v>
      </c>
      <c r="D257" s="4" t="str">
        <f t="shared" ca="1" si="26"/>
        <v>Food</v>
      </c>
      <c r="E257" t="str">
        <f t="shared" ca="1" si="27"/>
        <v>Ibadan</v>
      </c>
      <c r="F257">
        <f t="shared" ca="1" si="28"/>
        <v>18</v>
      </c>
      <c r="G257">
        <f t="shared" ca="1" si="29"/>
        <v>2900</v>
      </c>
      <c r="H257">
        <f t="shared" ca="1" si="30"/>
        <v>52200</v>
      </c>
    </row>
    <row r="258" spans="1:8">
      <c r="A258" s="2">
        <f t="shared" ca="1" si="24"/>
        <v>45661</v>
      </c>
      <c r="B258" s="3">
        <f t="shared" si="31"/>
        <v>1257</v>
      </c>
      <c r="C258" s="4" t="str">
        <f t="shared" ca="1" si="25"/>
        <v>Bread</v>
      </c>
      <c r="D258" s="4" t="str">
        <f t="shared" ca="1" si="26"/>
        <v>Beverage</v>
      </c>
      <c r="E258" t="str">
        <f t="shared" ca="1" si="27"/>
        <v>Abuja</v>
      </c>
      <c r="F258">
        <f t="shared" ca="1" si="28"/>
        <v>16</v>
      </c>
      <c r="G258">
        <f t="shared" ca="1" si="29"/>
        <v>6300</v>
      </c>
      <c r="H258">
        <f t="shared" ca="1" si="30"/>
        <v>100800</v>
      </c>
    </row>
    <row r="259" spans="1:8">
      <c r="A259" s="2">
        <f t="shared" ref="A259:A322" ca="1" si="32">DATE(2025,1,RANDBETWEEN(1,28))</f>
        <v>45676</v>
      </c>
      <c r="B259" s="3">
        <f t="shared" si="31"/>
        <v>1258</v>
      </c>
      <c r="C259" s="4" t="str">
        <f t="shared" ref="C259:C322" ca="1" si="33">CHOOSE(RANDBETWEEN(1,8),"Rice","Beans","Cooking Oil","Milk","Bread","Sugar","Noodles","Soft Drink")</f>
        <v>Rice</v>
      </c>
      <c r="D259" s="4" t="str">
        <f t="shared" ref="D259:D322" ca="1" si="34">CHOOSE(RANDBETWEEN(1,3),"Food","Beverage","Household")</f>
        <v>Food</v>
      </c>
      <c r="E259" t="str">
        <f t="shared" ref="E259:E322" ca="1" si="35">CHOOSE(RANDBETWEEN(1,5),"Lagos","Abuja","Port Harcourt","Ibadan","Kano")</f>
        <v>Ibadan</v>
      </c>
      <c r="F259">
        <f t="shared" ref="F259:F322" ca="1" si="36">RANDBETWEEN(1,20)</f>
        <v>9</v>
      </c>
      <c r="G259">
        <f t="shared" ref="G259:G322" ca="1" si="37">ROUND(RANDBETWEEN(500,7000)/100,0)*100</f>
        <v>6800</v>
      </c>
      <c r="H259">
        <f t="shared" ref="H259:H322" ca="1" si="38">F259*G259</f>
        <v>61200</v>
      </c>
    </row>
    <row r="260" spans="1:8">
      <c r="A260" s="2">
        <f t="shared" ca="1" si="32"/>
        <v>45682</v>
      </c>
      <c r="B260" s="3">
        <f t="shared" ref="B260:B323" si="39">B259+1</f>
        <v>1259</v>
      </c>
      <c r="C260" s="4" t="str">
        <f t="shared" ca="1" si="33"/>
        <v>Soft Drink</v>
      </c>
      <c r="D260" s="4" t="str">
        <f t="shared" ca="1" si="34"/>
        <v>Beverage</v>
      </c>
      <c r="E260" t="str">
        <f t="shared" ca="1" si="35"/>
        <v>Ibadan</v>
      </c>
      <c r="F260">
        <f t="shared" ca="1" si="36"/>
        <v>1</v>
      </c>
      <c r="G260">
        <f t="shared" ca="1" si="37"/>
        <v>4800</v>
      </c>
      <c r="H260">
        <f t="shared" ca="1" si="38"/>
        <v>4800</v>
      </c>
    </row>
    <row r="261" spans="1:8">
      <c r="A261" s="2">
        <f t="shared" ca="1" si="32"/>
        <v>45679</v>
      </c>
      <c r="B261" s="3">
        <f t="shared" si="39"/>
        <v>1260</v>
      </c>
      <c r="C261" s="4" t="str">
        <f t="shared" ca="1" si="33"/>
        <v>Bread</v>
      </c>
      <c r="D261" s="4" t="str">
        <f t="shared" ca="1" si="34"/>
        <v>Food</v>
      </c>
      <c r="E261" t="str">
        <f t="shared" ca="1" si="35"/>
        <v>Abuja</v>
      </c>
      <c r="F261">
        <f t="shared" ca="1" si="36"/>
        <v>10</v>
      </c>
      <c r="G261">
        <f t="shared" ca="1" si="37"/>
        <v>4200</v>
      </c>
      <c r="H261">
        <f t="shared" ca="1" si="38"/>
        <v>42000</v>
      </c>
    </row>
    <row r="262" spans="1:8">
      <c r="A262" s="2">
        <f t="shared" ca="1" si="32"/>
        <v>45680</v>
      </c>
      <c r="B262" s="3">
        <f t="shared" si="39"/>
        <v>1261</v>
      </c>
      <c r="C262" s="4" t="str">
        <f t="shared" ca="1" si="33"/>
        <v>Bread</v>
      </c>
      <c r="D262" s="4" t="str">
        <f t="shared" ca="1" si="34"/>
        <v>Food</v>
      </c>
      <c r="E262" t="str">
        <f t="shared" ca="1" si="35"/>
        <v>Port Harcourt</v>
      </c>
      <c r="F262">
        <f t="shared" ca="1" si="36"/>
        <v>17</v>
      </c>
      <c r="G262">
        <f t="shared" ca="1" si="37"/>
        <v>3100</v>
      </c>
      <c r="H262">
        <f t="shared" ca="1" si="38"/>
        <v>52700</v>
      </c>
    </row>
    <row r="263" spans="1:8">
      <c r="A263" s="2">
        <f t="shared" ca="1" si="32"/>
        <v>45681</v>
      </c>
      <c r="B263" s="3">
        <f t="shared" si="39"/>
        <v>1262</v>
      </c>
      <c r="C263" s="4" t="str">
        <f t="shared" ca="1" si="33"/>
        <v>Rice</v>
      </c>
      <c r="D263" s="4" t="str">
        <f t="shared" ca="1" si="34"/>
        <v>Food</v>
      </c>
      <c r="E263" t="str">
        <f t="shared" ca="1" si="35"/>
        <v>Abuja</v>
      </c>
      <c r="F263">
        <f t="shared" ca="1" si="36"/>
        <v>12</v>
      </c>
      <c r="G263">
        <f t="shared" ca="1" si="37"/>
        <v>5500</v>
      </c>
      <c r="H263">
        <f t="shared" ca="1" si="38"/>
        <v>66000</v>
      </c>
    </row>
    <row r="264" spans="1:8">
      <c r="A264" s="2">
        <f t="shared" ca="1" si="32"/>
        <v>45681</v>
      </c>
      <c r="B264" s="3">
        <f t="shared" si="39"/>
        <v>1263</v>
      </c>
      <c r="C264" s="4" t="str">
        <f t="shared" ca="1" si="33"/>
        <v>Beans</v>
      </c>
      <c r="D264" s="4" t="str">
        <f t="shared" ca="1" si="34"/>
        <v>Beverage</v>
      </c>
      <c r="E264" t="str">
        <f t="shared" ca="1" si="35"/>
        <v>Ibadan</v>
      </c>
      <c r="F264">
        <f t="shared" ca="1" si="36"/>
        <v>18</v>
      </c>
      <c r="G264">
        <f t="shared" ca="1" si="37"/>
        <v>1200</v>
      </c>
      <c r="H264">
        <f t="shared" ca="1" si="38"/>
        <v>21600</v>
      </c>
    </row>
    <row r="265" spans="1:8">
      <c r="A265" s="2">
        <f t="shared" ca="1" si="32"/>
        <v>45680</v>
      </c>
      <c r="B265" s="3">
        <f t="shared" si="39"/>
        <v>1264</v>
      </c>
      <c r="C265" s="4" t="str">
        <f t="shared" ca="1" si="33"/>
        <v>Milk</v>
      </c>
      <c r="D265" s="4" t="str">
        <f t="shared" ca="1" si="34"/>
        <v>Beverage</v>
      </c>
      <c r="E265" t="str">
        <f t="shared" ca="1" si="35"/>
        <v>Kano</v>
      </c>
      <c r="F265">
        <f t="shared" ca="1" si="36"/>
        <v>12</v>
      </c>
      <c r="G265">
        <f t="shared" ca="1" si="37"/>
        <v>4100</v>
      </c>
      <c r="H265">
        <f t="shared" ca="1" si="38"/>
        <v>49200</v>
      </c>
    </row>
    <row r="266" spans="1:8">
      <c r="A266" s="2">
        <f t="shared" ca="1" si="32"/>
        <v>45681</v>
      </c>
      <c r="B266" s="3">
        <f t="shared" si="39"/>
        <v>1265</v>
      </c>
      <c r="C266" s="4" t="str">
        <f t="shared" ca="1" si="33"/>
        <v>Noodles</v>
      </c>
      <c r="D266" s="4" t="str">
        <f t="shared" ca="1" si="34"/>
        <v>Food</v>
      </c>
      <c r="E266" t="str">
        <f t="shared" ca="1" si="35"/>
        <v>Ibadan</v>
      </c>
      <c r="F266">
        <f t="shared" ca="1" si="36"/>
        <v>8</v>
      </c>
      <c r="G266">
        <f t="shared" ca="1" si="37"/>
        <v>4800</v>
      </c>
      <c r="H266">
        <f t="shared" ca="1" si="38"/>
        <v>38400</v>
      </c>
    </row>
    <row r="267" spans="1:8">
      <c r="A267" s="2">
        <f t="shared" ca="1" si="32"/>
        <v>45685</v>
      </c>
      <c r="B267" s="3">
        <f t="shared" si="39"/>
        <v>1266</v>
      </c>
      <c r="C267" s="4" t="str">
        <f t="shared" ca="1" si="33"/>
        <v>Bread</v>
      </c>
      <c r="D267" s="4" t="str">
        <f t="shared" ca="1" si="34"/>
        <v>Food</v>
      </c>
      <c r="E267" t="str">
        <f t="shared" ca="1" si="35"/>
        <v>Lagos</v>
      </c>
      <c r="F267">
        <f t="shared" ca="1" si="36"/>
        <v>13</v>
      </c>
      <c r="G267">
        <f t="shared" ca="1" si="37"/>
        <v>3400</v>
      </c>
      <c r="H267">
        <f t="shared" ca="1" si="38"/>
        <v>44200</v>
      </c>
    </row>
    <row r="268" spans="1:8">
      <c r="A268" s="2">
        <f t="shared" ca="1" si="32"/>
        <v>45682</v>
      </c>
      <c r="B268" s="3">
        <f t="shared" si="39"/>
        <v>1267</v>
      </c>
      <c r="C268" s="4" t="str">
        <f t="shared" ca="1" si="33"/>
        <v>Cooking Oil</v>
      </c>
      <c r="D268" s="4" t="str">
        <f t="shared" ca="1" si="34"/>
        <v>Household</v>
      </c>
      <c r="E268" t="str">
        <f t="shared" ca="1" si="35"/>
        <v>Lagos</v>
      </c>
      <c r="F268">
        <f t="shared" ca="1" si="36"/>
        <v>12</v>
      </c>
      <c r="G268">
        <f t="shared" ca="1" si="37"/>
        <v>4200</v>
      </c>
      <c r="H268">
        <f t="shared" ca="1" si="38"/>
        <v>50400</v>
      </c>
    </row>
    <row r="269" spans="1:8">
      <c r="A269" s="2">
        <f t="shared" ca="1" si="32"/>
        <v>45679</v>
      </c>
      <c r="B269" s="3">
        <f t="shared" si="39"/>
        <v>1268</v>
      </c>
      <c r="C269" s="4" t="str">
        <f t="shared" ca="1" si="33"/>
        <v>Soft Drink</v>
      </c>
      <c r="D269" s="4" t="str">
        <f t="shared" ca="1" si="34"/>
        <v>Beverage</v>
      </c>
      <c r="E269" t="str">
        <f t="shared" ca="1" si="35"/>
        <v>Kano</v>
      </c>
      <c r="F269">
        <f t="shared" ca="1" si="36"/>
        <v>5</v>
      </c>
      <c r="G269">
        <f t="shared" ca="1" si="37"/>
        <v>1900</v>
      </c>
      <c r="H269">
        <f t="shared" ca="1" si="38"/>
        <v>9500</v>
      </c>
    </row>
    <row r="270" spans="1:8">
      <c r="A270" s="2">
        <f t="shared" ca="1" si="32"/>
        <v>45669</v>
      </c>
      <c r="B270" s="3">
        <f t="shared" si="39"/>
        <v>1269</v>
      </c>
      <c r="C270" s="4" t="str">
        <f t="shared" ca="1" si="33"/>
        <v>Noodles</v>
      </c>
      <c r="D270" s="4" t="str">
        <f t="shared" ca="1" si="34"/>
        <v>Food</v>
      </c>
      <c r="E270" t="str">
        <f t="shared" ca="1" si="35"/>
        <v>Ibadan</v>
      </c>
      <c r="F270">
        <f t="shared" ca="1" si="36"/>
        <v>8</v>
      </c>
      <c r="G270">
        <f t="shared" ca="1" si="37"/>
        <v>4900</v>
      </c>
      <c r="H270">
        <f t="shared" ca="1" si="38"/>
        <v>39200</v>
      </c>
    </row>
    <row r="271" spans="1:8">
      <c r="A271" s="2">
        <f t="shared" ca="1" si="32"/>
        <v>45664</v>
      </c>
      <c r="B271" s="3">
        <f t="shared" si="39"/>
        <v>1270</v>
      </c>
      <c r="C271" s="4" t="str">
        <f t="shared" ca="1" si="33"/>
        <v>Bread</v>
      </c>
      <c r="D271" s="4" t="str">
        <f t="shared" ca="1" si="34"/>
        <v>Food</v>
      </c>
      <c r="E271" t="str">
        <f t="shared" ca="1" si="35"/>
        <v>Lagos</v>
      </c>
      <c r="F271">
        <f t="shared" ca="1" si="36"/>
        <v>2</v>
      </c>
      <c r="G271">
        <f t="shared" ca="1" si="37"/>
        <v>2000</v>
      </c>
      <c r="H271">
        <f t="shared" ca="1" si="38"/>
        <v>4000</v>
      </c>
    </row>
    <row r="272" spans="1:8">
      <c r="A272" s="2">
        <f t="shared" ca="1" si="32"/>
        <v>45663</v>
      </c>
      <c r="B272" s="3">
        <f t="shared" si="39"/>
        <v>1271</v>
      </c>
      <c r="C272" s="4" t="str">
        <f t="shared" ca="1" si="33"/>
        <v>Soft Drink</v>
      </c>
      <c r="D272" s="4" t="str">
        <f t="shared" ca="1" si="34"/>
        <v>Household</v>
      </c>
      <c r="E272" t="str">
        <f t="shared" ca="1" si="35"/>
        <v>Port Harcourt</v>
      </c>
      <c r="F272">
        <f t="shared" ca="1" si="36"/>
        <v>16</v>
      </c>
      <c r="G272">
        <f t="shared" ca="1" si="37"/>
        <v>3500</v>
      </c>
      <c r="H272">
        <f t="shared" ca="1" si="38"/>
        <v>56000</v>
      </c>
    </row>
    <row r="273" spans="1:8">
      <c r="A273" s="2">
        <f t="shared" ca="1" si="32"/>
        <v>45661</v>
      </c>
      <c r="B273" s="3">
        <f t="shared" si="39"/>
        <v>1272</v>
      </c>
      <c r="C273" s="4" t="str">
        <f t="shared" ca="1" si="33"/>
        <v>Sugar</v>
      </c>
      <c r="D273" s="4" t="str">
        <f t="shared" ca="1" si="34"/>
        <v>Beverage</v>
      </c>
      <c r="E273" t="str">
        <f t="shared" ca="1" si="35"/>
        <v>Abuja</v>
      </c>
      <c r="F273">
        <f t="shared" ca="1" si="36"/>
        <v>18</v>
      </c>
      <c r="G273">
        <f t="shared" ca="1" si="37"/>
        <v>1800</v>
      </c>
      <c r="H273">
        <f t="shared" ca="1" si="38"/>
        <v>32400</v>
      </c>
    </row>
    <row r="274" spans="1:8">
      <c r="A274" s="2">
        <f t="shared" ca="1" si="32"/>
        <v>45679</v>
      </c>
      <c r="B274" s="3">
        <f t="shared" si="39"/>
        <v>1273</v>
      </c>
      <c r="C274" s="4" t="str">
        <f t="shared" ca="1" si="33"/>
        <v>Soft Drink</v>
      </c>
      <c r="D274" s="4" t="str">
        <f t="shared" ca="1" si="34"/>
        <v>Household</v>
      </c>
      <c r="E274" t="str">
        <f t="shared" ca="1" si="35"/>
        <v>Abuja</v>
      </c>
      <c r="F274">
        <f t="shared" ca="1" si="36"/>
        <v>13</v>
      </c>
      <c r="G274">
        <f t="shared" ca="1" si="37"/>
        <v>2700</v>
      </c>
      <c r="H274">
        <f t="shared" ca="1" si="38"/>
        <v>35100</v>
      </c>
    </row>
    <row r="275" spans="1:8">
      <c r="A275" s="2">
        <f t="shared" ca="1" si="32"/>
        <v>45660</v>
      </c>
      <c r="B275" s="3">
        <f t="shared" si="39"/>
        <v>1274</v>
      </c>
      <c r="C275" s="4" t="str">
        <f t="shared" ca="1" si="33"/>
        <v>Soft Drink</v>
      </c>
      <c r="D275" s="4" t="str">
        <f t="shared" ca="1" si="34"/>
        <v>Household</v>
      </c>
      <c r="E275" t="str">
        <f t="shared" ca="1" si="35"/>
        <v>Kano</v>
      </c>
      <c r="F275">
        <f t="shared" ca="1" si="36"/>
        <v>17</v>
      </c>
      <c r="G275">
        <f t="shared" ca="1" si="37"/>
        <v>4200</v>
      </c>
      <c r="H275">
        <f t="shared" ca="1" si="38"/>
        <v>71400</v>
      </c>
    </row>
    <row r="276" spans="1:8">
      <c r="A276" s="2">
        <f t="shared" ca="1" si="32"/>
        <v>45681</v>
      </c>
      <c r="B276" s="3">
        <f t="shared" si="39"/>
        <v>1275</v>
      </c>
      <c r="C276" s="4" t="str">
        <f t="shared" ca="1" si="33"/>
        <v>Cooking Oil</v>
      </c>
      <c r="D276" s="4" t="str">
        <f t="shared" ca="1" si="34"/>
        <v>Beverage</v>
      </c>
      <c r="E276" t="str">
        <f t="shared" ca="1" si="35"/>
        <v>Ibadan</v>
      </c>
      <c r="F276">
        <f t="shared" ca="1" si="36"/>
        <v>14</v>
      </c>
      <c r="G276">
        <f t="shared" ca="1" si="37"/>
        <v>3800</v>
      </c>
      <c r="H276">
        <f t="shared" ca="1" si="38"/>
        <v>53200</v>
      </c>
    </row>
    <row r="277" spans="1:8">
      <c r="A277" s="2">
        <f t="shared" ca="1" si="32"/>
        <v>45669</v>
      </c>
      <c r="B277" s="3">
        <f t="shared" si="39"/>
        <v>1276</v>
      </c>
      <c r="C277" s="4" t="str">
        <f t="shared" ca="1" si="33"/>
        <v>Bread</v>
      </c>
      <c r="D277" s="4" t="str">
        <f t="shared" ca="1" si="34"/>
        <v>Beverage</v>
      </c>
      <c r="E277" t="str">
        <f t="shared" ca="1" si="35"/>
        <v>Abuja</v>
      </c>
      <c r="F277">
        <f t="shared" ca="1" si="36"/>
        <v>11</v>
      </c>
      <c r="G277">
        <f t="shared" ca="1" si="37"/>
        <v>6100</v>
      </c>
      <c r="H277">
        <f t="shared" ca="1" si="38"/>
        <v>67100</v>
      </c>
    </row>
    <row r="278" spans="1:8">
      <c r="A278" s="2">
        <f t="shared" ca="1" si="32"/>
        <v>45678</v>
      </c>
      <c r="B278" s="3">
        <f t="shared" si="39"/>
        <v>1277</v>
      </c>
      <c r="C278" s="4" t="str">
        <f t="shared" ca="1" si="33"/>
        <v>Beans</v>
      </c>
      <c r="D278" s="4" t="str">
        <f t="shared" ca="1" si="34"/>
        <v>Household</v>
      </c>
      <c r="E278" t="str">
        <f t="shared" ca="1" si="35"/>
        <v>Kano</v>
      </c>
      <c r="F278">
        <f t="shared" ca="1" si="36"/>
        <v>14</v>
      </c>
      <c r="G278">
        <f t="shared" ca="1" si="37"/>
        <v>2500</v>
      </c>
      <c r="H278">
        <f t="shared" ca="1" si="38"/>
        <v>35000</v>
      </c>
    </row>
    <row r="279" spans="1:8">
      <c r="A279" s="2">
        <f t="shared" ca="1" si="32"/>
        <v>45665</v>
      </c>
      <c r="B279" s="3">
        <f t="shared" si="39"/>
        <v>1278</v>
      </c>
      <c r="C279" s="4" t="str">
        <f t="shared" ca="1" si="33"/>
        <v>Cooking Oil</v>
      </c>
      <c r="D279" s="4" t="str">
        <f t="shared" ca="1" si="34"/>
        <v>Beverage</v>
      </c>
      <c r="E279" t="str">
        <f t="shared" ca="1" si="35"/>
        <v>Kano</v>
      </c>
      <c r="F279">
        <f t="shared" ca="1" si="36"/>
        <v>19</v>
      </c>
      <c r="G279">
        <f t="shared" ca="1" si="37"/>
        <v>2600</v>
      </c>
      <c r="H279">
        <f t="shared" ca="1" si="38"/>
        <v>49400</v>
      </c>
    </row>
    <row r="280" spans="1:8">
      <c r="A280" s="2">
        <f t="shared" ca="1" si="32"/>
        <v>45668</v>
      </c>
      <c r="B280" s="3">
        <f t="shared" si="39"/>
        <v>1279</v>
      </c>
      <c r="C280" s="4" t="str">
        <f t="shared" ca="1" si="33"/>
        <v>Milk</v>
      </c>
      <c r="D280" s="4" t="str">
        <f t="shared" ca="1" si="34"/>
        <v>Beverage</v>
      </c>
      <c r="E280" t="str">
        <f t="shared" ca="1" si="35"/>
        <v>Lagos</v>
      </c>
      <c r="F280">
        <f t="shared" ca="1" si="36"/>
        <v>6</v>
      </c>
      <c r="G280">
        <f t="shared" ca="1" si="37"/>
        <v>4500</v>
      </c>
      <c r="H280">
        <f t="shared" ca="1" si="38"/>
        <v>27000</v>
      </c>
    </row>
    <row r="281" spans="1:8">
      <c r="A281" s="2">
        <f t="shared" ca="1" si="32"/>
        <v>45684</v>
      </c>
      <c r="B281" s="3">
        <f t="shared" si="39"/>
        <v>1280</v>
      </c>
      <c r="C281" s="4" t="str">
        <f t="shared" ca="1" si="33"/>
        <v>Cooking Oil</v>
      </c>
      <c r="D281" s="4" t="str">
        <f t="shared" ca="1" si="34"/>
        <v>Household</v>
      </c>
      <c r="E281" t="str">
        <f t="shared" ca="1" si="35"/>
        <v>Port Harcourt</v>
      </c>
      <c r="F281">
        <f t="shared" ca="1" si="36"/>
        <v>18</v>
      </c>
      <c r="G281">
        <f t="shared" ca="1" si="37"/>
        <v>2000</v>
      </c>
      <c r="H281">
        <f t="shared" ca="1" si="38"/>
        <v>36000</v>
      </c>
    </row>
    <row r="282" spans="1:8">
      <c r="A282" s="2">
        <f t="shared" ca="1" si="32"/>
        <v>45684</v>
      </c>
      <c r="B282" s="3">
        <f t="shared" si="39"/>
        <v>1281</v>
      </c>
      <c r="C282" s="4" t="str">
        <f t="shared" ca="1" si="33"/>
        <v>Sugar</v>
      </c>
      <c r="D282" s="4" t="str">
        <f t="shared" ca="1" si="34"/>
        <v>Food</v>
      </c>
      <c r="E282" t="str">
        <f t="shared" ca="1" si="35"/>
        <v>Lagos</v>
      </c>
      <c r="F282">
        <f t="shared" ca="1" si="36"/>
        <v>4</v>
      </c>
      <c r="G282">
        <f t="shared" ca="1" si="37"/>
        <v>6300</v>
      </c>
      <c r="H282">
        <f t="shared" ca="1" si="38"/>
        <v>25200</v>
      </c>
    </row>
    <row r="283" spans="1:8">
      <c r="A283" s="2">
        <f t="shared" ca="1" si="32"/>
        <v>45675</v>
      </c>
      <c r="B283" s="3">
        <f t="shared" si="39"/>
        <v>1282</v>
      </c>
      <c r="C283" s="4" t="str">
        <f t="shared" ca="1" si="33"/>
        <v>Cooking Oil</v>
      </c>
      <c r="D283" s="4" t="str">
        <f t="shared" ca="1" si="34"/>
        <v>Household</v>
      </c>
      <c r="E283" t="str">
        <f t="shared" ca="1" si="35"/>
        <v>Ibadan</v>
      </c>
      <c r="F283">
        <f t="shared" ca="1" si="36"/>
        <v>7</v>
      </c>
      <c r="G283">
        <f t="shared" ca="1" si="37"/>
        <v>2200</v>
      </c>
      <c r="H283">
        <f t="shared" ca="1" si="38"/>
        <v>15400</v>
      </c>
    </row>
    <row r="284" spans="1:8">
      <c r="A284" s="2">
        <f t="shared" ca="1" si="32"/>
        <v>45678</v>
      </c>
      <c r="B284" s="3">
        <f t="shared" si="39"/>
        <v>1283</v>
      </c>
      <c r="C284" s="4" t="str">
        <f t="shared" ca="1" si="33"/>
        <v>Bread</v>
      </c>
      <c r="D284" s="4" t="str">
        <f t="shared" ca="1" si="34"/>
        <v>Household</v>
      </c>
      <c r="E284" t="str">
        <f t="shared" ca="1" si="35"/>
        <v>Port Harcourt</v>
      </c>
      <c r="F284">
        <f t="shared" ca="1" si="36"/>
        <v>10</v>
      </c>
      <c r="G284">
        <f t="shared" ca="1" si="37"/>
        <v>700</v>
      </c>
      <c r="H284">
        <f t="shared" ca="1" si="38"/>
        <v>7000</v>
      </c>
    </row>
    <row r="285" spans="1:8">
      <c r="A285" s="2">
        <f t="shared" ca="1" si="32"/>
        <v>45664</v>
      </c>
      <c r="B285" s="3">
        <f t="shared" si="39"/>
        <v>1284</v>
      </c>
      <c r="C285" s="4" t="str">
        <f t="shared" ca="1" si="33"/>
        <v>Noodles</v>
      </c>
      <c r="D285" s="4" t="str">
        <f t="shared" ca="1" si="34"/>
        <v>Beverage</v>
      </c>
      <c r="E285" t="str">
        <f t="shared" ca="1" si="35"/>
        <v>Abuja</v>
      </c>
      <c r="F285">
        <f t="shared" ca="1" si="36"/>
        <v>16</v>
      </c>
      <c r="G285">
        <f t="shared" ca="1" si="37"/>
        <v>4200</v>
      </c>
      <c r="H285">
        <f t="shared" ca="1" si="38"/>
        <v>67200</v>
      </c>
    </row>
    <row r="286" spans="1:8">
      <c r="A286" s="2">
        <f t="shared" ca="1" si="32"/>
        <v>45683</v>
      </c>
      <c r="B286" s="3">
        <f t="shared" si="39"/>
        <v>1285</v>
      </c>
      <c r="C286" s="4" t="str">
        <f t="shared" ca="1" si="33"/>
        <v>Milk</v>
      </c>
      <c r="D286" s="4" t="str">
        <f t="shared" ca="1" si="34"/>
        <v>Beverage</v>
      </c>
      <c r="E286" t="str">
        <f t="shared" ca="1" si="35"/>
        <v>Abuja</v>
      </c>
      <c r="F286">
        <f t="shared" ca="1" si="36"/>
        <v>8</v>
      </c>
      <c r="G286">
        <f t="shared" ca="1" si="37"/>
        <v>3800</v>
      </c>
      <c r="H286">
        <f t="shared" ca="1" si="38"/>
        <v>30400</v>
      </c>
    </row>
    <row r="287" spans="1:8">
      <c r="A287" s="2">
        <f t="shared" ca="1" si="32"/>
        <v>45664</v>
      </c>
      <c r="B287" s="3">
        <f t="shared" si="39"/>
        <v>1286</v>
      </c>
      <c r="C287" s="4" t="str">
        <f t="shared" ca="1" si="33"/>
        <v>Soft Drink</v>
      </c>
      <c r="D287" s="4" t="str">
        <f t="shared" ca="1" si="34"/>
        <v>Food</v>
      </c>
      <c r="E287" t="str">
        <f t="shared" ca="1" si="35"/>
        <v>Ibadan</v>
      </c>
      <c r="F287">
        <f t="shared" ca="1" si="36"/>
        <v>16</v>
      </c>
      <c r="G287">
        <f t="shared" ca="1" si="37"/>
        <v>4400</v>
      </c>
      <c r="H287">
        <f t="shared" ca="1" si="38"/>
        <v>70400</v>
      </c>
    </row>
    <row r="288" spans="1:8">
      <c r="A288" s="2">
        <f t="shared" ca="1" si="32"/>
        <v>45684</v>
      </c>
      <c r="B288" s="3">
        <f t="shared" si="39"/>
        <v>1287</v>
      </c>
      <c r="C288" s="4" t="str">
        <f t="shared" ca="1" si="33"/>
        <v>Beans</v>
      </c>
      <c r="D288" s="4" t="str">
        <f t="shared" ca="1" si="34"/>
        <v>Household</v>
      </c>
      <c r="E288" t="str">
        <f t="shared" ca="1" si="35"/>
        <v>Lagos</v>
      </c>
      <c r="F288">
        <f t="shared" ca="1" si="36"/>
        <v>14</v>
      </c>
      <c r="G288">
        <f t="shared" ca="1" si="37"/>
        <v>5100</v>
      </c>
      <c r="H288">
        <f t="shared" ca="1" si="38"/>
        <v>71400</v>
      </c>
    </row>
    <row r="289" spans="1:8">
      <c r="A289" s="2">
        <f t="shared" ca="1" si="32"/>
        <v>45672</v>
      </c>
      <c r="B289" s="3">
        <f t="shared" si="39"/>
        <v>1288</v>
      </c>
      <c r="C289" s="4" t="str">
        <f t="shared" ca="1" si="33"/>
        <v>Rice</v>
      </c>
      <c r="D289" s="4" t="str">
        <f t="shared" ca="1" si="34"/>
        <v>Food</v>
      </c>
      <c r="E289" t="str">
        <f t="shared" ca="1" si="35"/>
        <v>Port Harcourt</v>
      </c>
      <c r="F289">
        <f t="shared" ca="1" si="36"/>
        <v>3</v>
      </c>
      <c r="G289">
        <f t="shared" ca="1" si="37"/>
        <v>3300</v>
      </c>
      <c r="H289">
        <f t="shared" ca="1" si="38"/>
        <v>9900</v>
      </c>
    </row>
    <row r="290" spans="1:8">
      <c r="A290" s="2">
        <f t="shared" ca="1" si="32"/>
        <v>45661</v>
      </c>
      <c r="B290" s="3">
        <f t="shared" si="39"/>
        <v>1289</v>
      </c>
      <c r="C290" s="4" t="str">
        <f t="shared" ca="1" si="33"/>
        <v>Soft Drink</v>
      </c>
      <c r="D290" s="4" t="str">
        <f t="shared" ca="1" si="34"/>
        <v>Beverage</v>
      </c>
      <c r="E290" t="str">
        <f t="shared" ca="1" si="35"/>
        <v>Port Harcourt</v>
      </c>
      <c r="F290">
        <f t="shared" ca="1" si="36"/>
        <v>17</v>
      </c>
      <c r="G290">
        <f t="shared" ca="1" si="37"/>
        <v>3200</v>
      </c>
      <c r="H290">
        <f t="shared" ca="1" si="38"/>
        <v>54400</v>
      </c>
    </row>
    <row r="291" spans="1:8">
      <c r="A291" s="2">
        <f t="shared" ca="1" si="32"/>
        <v>45673</v>
      </c>
      <c r="B291" s="3">
        <f t="shared" si="39"/>
        <v>1290</v>
      </c>
      <c r="C291" s="4" t="str">
        <f t="shared" ca="1" si="33"/>
        <v>Cooking Oil</v>
      </c>
      <c r="D291" s="4" t="str">
        <f t="shared" ca="1" si="34"/>
        <v>Food</v>
      </c>
      <c r="E291" t="str">
        <f t="shared" ca="1" si="35"/>
        <v>Kano</v>
      </c>
      <c r="F291">
        <f t="shared" ca="1" si="36"/>
        <v>9</v>
      </c>
      <c r="G291">
        <f t="shared" ca="1" si="37"/>
        <v>2200</v>
      </c>
      <c r="H291">
        <f t="shared" ca="1" si="38"/>
        <v>19800</v>
      </c>
    </row>
    <row r="292" spans="1:8">
      <c r="A292" s="2">
        <f t="shared" ca="1" si="32"/>
        <v>45677</v>
      </c>
      <c r="B292" s="3">
        <f t="shared" si="39"/>
        <v>1291</v>
      </c>
      <c r="C292" s="4" t="str">
        <f t="shared" ca="1" si="33"/>
        <v>Noodles</v>
      </c>
      <c r="D292" s="4" t="str">
        <f t="shared" ca="1" si="34"/>
        <v>Beverage</v>
      </c>
      <c r="E292" t="str">
        <f t="shared" ca="1" si="35"/>
        <v>Port Harcourt</v>
      </c>
      <c r="F292">
        <f t="shared" ca="1" si="36"/>
        <v>9</v>
      </c>
      <c r="G292">
        <f t="shared" ca="1" si="37"/>
        <v>1700</v>
      </c>
      <c r="H292">
        <f t="shared" ca="1" si="38"/>
        <v>15300</v>
      </c>
    </row>
    <row r="293" spans="1:8">
      <c r="A293" s="2">
        <f t="shared" ca="1" si="32"/>
        <v>45662</v>
      </c>
      <c r="B293" s="3">
        <f t="shared" si="39"/>
        <v>1292</v>
      </c>
      <c r="C293" s="4" t="str">
        <f t="shared" ca="1" si="33"/>
        <v>Noodles</v>
      </c>
      <c r="D293" s="4" t="str">
        <f t="shared" ca="1" si="34"/>
        <v>Beverage</v>
      </c>
      <c r="E293" t="str">
        <f t="shared" ca="1" si="35"/>
        <v>Abuja</v>
      </c>
      <c r="F293">
        <f t="shared" ca="1" si="36"/>
        <v>14</v>
      </c>
      <c r="G293">
        <f t="shared" ca="1" si="37"/>
        <v>3200</v>
      </c>
      <c r="H293">
        <f t="shared" ca="1" si="38"/>
        <v>44800</v>
      </c>
    </row>
    <row r="294" spans="1:8">
      <c r="A294" s="2">
        <f t="shared" ca="1" si="32"/>
        <v>45678</v>
      </c>
      <c r="B294" s="3">
        <f t="shared" si="39"/>
        <v>1293</v>
      </c>
      <c r="C294" s="4" t="str">
        <f t="shared" ca="1" si="33"/>
        <v>Noodles</v>
      </c>
      <c r="D294" s="4" t="str">
        <f t="shared" ca="1" si="34"/>
        <v>Household</v>
      </c>
      <c r="E294" t="str">
        <f t="shared" ca="1" si="35"/>
        <v>Lagos</v>
      </c>
      <c r="F294">
        <f t="shared" ca="1" si="36"/>
        <v>4</v>
      </c>
      <c r="G294">
        <f t="shared" ca="1" si="37"/>
        <v>900</v>
      </c>
      <c r="H294">
        <f t="shared" ca="1" si="38"/>
        <v>3600</v>
      </c>
    </row>
    <row r="295" spans="1:8">
      <c r="A295" s="2">
        <f t="shared" ca="1" si="32"/>
        <v>45664</v>
      </c>
      <c r="B295" s="3">
        <f t="shared" si="39"/>
        <v>1294</v>
      </c>
      <c r="C295" s="4" t="str">
        <f t="shared" ca="1" si="33"/>
        <v>Soft Drink</v>
      </c>
      <c r="D295" s="4" t="str">
        <f t="shared" ca="1" si="34"/>
        <v>Food</v>
      </c>
      <c r="E295" t="str">
        <f t="shared" ca="1" si="35"/>
        <v>Lagos</v>
      </c>
      <c r="F295">
        <f t="shared" ca="1" si="36"/>
        <v>13</v>
      </c>
      <c r="G295">
        <f t="shared" ca="1" si="37"/>
        <v>900</v>
      </c>
      <c r="H295">
        <f t="shared" ca="1" si="38"/>
        <v>11700</v>
      </c>
    </row>
    <row r="296" spans="1:8">
      <c r="A296" s="2">
        <f t="shared" ca="1" si="32"/>
        <v>45669</v>
      </c>
      <c r="B296" s="3">
        <f t="shared" si="39"/>
        <v>1295</v>
      </c>
      <c r="C296" s="4" t="str">
        <f t="shared" ca="1" si="33"/>
        <v>Cooking Oil</v>
      </c>
      <c r="D296" s="4" t="str">
        <f t="shared" ca="1" si="34"/>
        <v>Beverage</v>
      </c>
      <c r="E296" t="str">
        <f t="shared" ca="1" si="35"/>
        <v>Kano</v>
      </c>
      <c r="F296">
        <f t="shared" ca="1" si="36"/>
        <v>12</v>
      </c>
      <c r="G296">
        <f t="shared" ca="1" si="37"/>
        <v>3500</v>
      </c>
      <c r="H296">
        <f t="shared" ca="1" si="38"/>
        <v>42000</v>
      </c>
    </row>
    <row r="297" spans="1:8">
      <c r="A297" s="2">
        <f t="shared" ca="1" si="32"/>
        <v>45678</v>
      </c>
      <c r="B297" s="3">
        <f t="shared" si="39"/>
        <v>1296</v>
      </c>
      <c r="C297" s="4" t="str">
        <f t="shared" ca="1" si="33"/>
        <v>Rice</v>
      </c>
      <c r="D297" s="4" t="str">
        <f t="shared" ca="1" si="34"/>
        <v>Food</v>
      </c>
      <c r="E297" t="str">
        <f t="shared" ca="1" si="35"/>
        <v>Kano</v>
      </c>
      <c r="F297">
        <f t="shared" ca="1" si="36"/>
        <v>2</v>
      </c>
      <c r="G297">
        <f t="shared" ca="1" si="37"/>
        <v>4600</v>
      </c>
      <c r="H297">
        <f t="shared" ca="1" si="38"/>
        <v>9200</v>
      </c>
    </row>
    <row r="298" spans="1:8">
      <c r="A298" s="2">
        <f t="shared" ca="1" si="32"/>
        <v>45661</v>
      </c>
      <c r="B298" s="3">
        <f t="shared" si="39"/>
        <v>1297</v>
      </c>
      <c r="C298" s="4" t="str">
        <f t="shared" ca="1" si="33"/>
        <v>Beans</v>
      </c>
      <c r="D298" s="4" t="str">
        <f t="shared" ca="1" si="34"/>
        <v>Beverage</v>
      </c>
      <c r="E298" t="str">
        <f t="shared" ca="1" si="35"/>
        <v>Kano</v>
      </c>
      <c r="F298">
        <f t="shared" ca="1" si="36"/>
        <v>11</v>
      </c>
      <c r="G298">
        <f t="shared" ca="1" si="37"/>
        <v>6900</v>
      </c>
      <c r="H298">
        <f t="shared" ca="1" si="38"/>
        <v>75900</v>
      </c>
    </row>
    <row r="299" spans="1:8">
      <c r="A299" s="2">
        <f t="shared" ca="1" si="32"/>
        <v>45659</v>
      </c>
      <c r="B299" s="3">
        <f t="shared" si="39"/>
        <v>1298</v>
      </c>
      <c r="C299" s="4" t="str">
        <f t="shared" ca="1" si="33"/>
        <v>Rice</v>
      </c>
      <c r="D299" s="4" t="str">
        <f t="shared" ca="1" si="34"/>
        <v>Household</v>
      </c>
      <c r="E299" t="str">
        <f t="shared" ca="1" si="35"/>
        <v>Ibadan</v>
      </c>
      <c r="F299">
        <f t="shared" ca="1" si="36"/>
        <v>6</v>
      </c>
      <c r="G299">
        <f t="shared" ca="1" si="37"/>
        <v>1100</v>
      </c>
      <c r="H299">
        <f t="shared" ca="1" si="38"/>
        <v>6600</v>
      </c>
    </row>
    <row r="300" spans="1:8">
      <c r="A300" s="2">
        <f t="shared" ca="1" si="32"/>
        <v>45671</v>
      </c>
      <c r="B300" s="3">
        <f t="shared" si="39"/>
        <v>1299</v>
      </c>
      <c r="C300" s="4" t="str">
        <f t="shared" ca="1" si="33"/>
        <v>Soft Drink</v>
      </c>
      <c r="D300" s="4" t="str">
        <f t="shared" ca="1" si="34"/>
        <v>Household</v>
      </c>
      <c r="E300" t="str">
        <f t="shared" ca="1" si="35"/>
        <v>Abuja</v>
      </c>
      <c r="F300">
        <f t="shared" ca="1" si="36"/>
        <v>8</v>
      </c>
      <c r="G300">
        <f t="shared" ca="1" si="37"/>
        <v>6100</v>
      </c>
      <c r="H300">
        <f t="shared" ca="1" si="38"/>
        <v>48800</v>
      </c>
    </row>
    <row r="301" spans="1:8">
      <c r="A301" s="2">
        <f t="shared" ca="1" si="32"/>
        <v>45669</v>
      </c>
      <c r="B301" s="3">
        <f t="shared" si="39"/>
        <v>1300</v>
      </c>
      <c r="C301" s="4" t="str">
        <f t="shared" ca="1" si="33"/>
        <v>Bread</v>
      </c>
      <c r="D301" s="4" t="str">
        <f t="shared" ca="1" si="34"/>
        <v>Household</v>
      </c>
      <c r="E301" t="str">
        <f t="shared" ca="1" si="35"/>
        <v>Abuja</v>
      </c>
      <c r="F301">
        <f t="shared" ca="1" si="36"/>
        <v>5</v>
      </c>
      <c r="G301">
        <f t="shared" ca="1" si="37"/>
        <v>500</v>
      </c>
      <c r="H301">
        <f t="shared" ca="1" si="38"/>
        <v>2500</v>
      </c>
    </row>
    <row r="302" spans="1:8">
      <c r="A302" s="2">
        <f t="shared" ca="1" si="32"/>
        <v>45671</v>
      </c>
      <c r="B302" s="3">
        <f t="shared" si="39"/>
        <v>1301</v>
      </c>
      <c r="C302" s="4" t="str">
        <f t="shared" ca="1" si="33"/>
        <v>Rice</v>
      </c>
      <c r="D302" s="4" t="str">
        <f t="shared" ca="1" si="34"/>
        <v>Beverage</v>
      </c>
      <c r="E302" t="str">
        <f t="shared" ca="1" si="35"/>
        <v>Ibadan</v>
      </c>
      <c r="F302">
        <f t="shared" ca="1" si="36"/>
        <v>14</v>
      </c>
      <c r="G302">
        <f t="shared" ca="1" si="37"/>
        <v>5300</v>
      </c>
      <c r="H302">
        <f t="shared" ca="1" si="38"/>
        <v>74200</v>
      </c>
    </row>
    <row r="303" spans="1:8">
      <c r="A303" s="2">
        <f t="shared" ca="1" si="32"/>
        <v>45685</v>
      </c>
      <c r="B303" s="3">
        <f t="shared" si="39"/>
        <v>1302</v>
      </c>
      <c r="C303" s="4" t="str">
        <f t="shared" ca="1" si="33"/>
        <v>Soft Drink</v>
      </c>
      <c r="D303" s="4" t="str">
        <f t="shared" ca="1" si="34"/>
        <v>Beverage</v>
      </c>
      <c r="E303" t="str">
        <f t="shared" ca="1" si="35"/>
        <v>Abuja</v>
      </c>
      <c r="F303">
        <f t="shared" ca="1" si="36"/>
        <v>1</v>
      </c>
      <c r="G303">
        <f t="shared" ca="1" si="37"/>
        <v>2000</v>
      </c>
      <c r="H303">
        <f t="shared" ca="1" si="38"/>
        <v>2000</v>
      </c>
    </row>
    <row r="304" spans="1:8">
      <c r="A304" s="2">
        <f t="shared" ca="1" si="32"/>
        <v>45672</v>
      </c>
      <c r="B304" s="3">
        <f t="shared" si="39"/>
        <v>1303</v>
      </c>
      <c r="C304" s="4" t="str">
        <f t="shared" ca="1" si="33"/>
        <v>Sugar</v>
      </c>
      <c r="D304" s="4" t="str">
        <f t="shared" ca="1" si="34"/>
        <v>Food</v>
      </c>
      <c r="E304" t="str">
        <f t="shared" ca="1" si="35"/>
        <v>Port Harcourt</v>
      </c>
      <c r="F304">
        <f t="shared" ca="1" si="36"/>
        <v>1</v>
      </c>
      <c r="G304">
        <f t="shared" ca="1" si="37"/>
        <v>4600</v>
      </c>
      <c r="H304">
        <f t="shared" ca="1" si="38"/>
        <v>4600</v>
      </c>
    </row>
    <row r="305" spans="1:8">
      <c r="A305" s="2">
        <f t="shared" ca="1" si="32"/>
        <v>45682</v>
      </c>
      <c r="B305" s="3">
        <f t="shared" si="39"/>
        <v>1304</v>
      </c>
      <c r="C305" s="4" t="str">
        <f t="shared" ca="1" si="33"/>
        <v>Rice</v>
      </c>
      <c r="D305" s="4" t="str">
        <f t="shared" ca="1" si="34"/>
        <v>Household</v>
      </c>
      <c r="E305" t="str">
        <f t="shared" ca="1" si="35"/>
        <v>Port Harcourt</v>
      </c>
      <c r="F305">
        <f t="shared" ca="1" si="36"/>
        <v>11</v>
      </c>
      <c r="G305">
        <f t="shared" ca="1" si="37"/>
        <v>5000</v>
      </c>
      <c r="H305">
        <f t="shared" ca="1" si="38"/>
        <v>55000</v>
      </c>
    </row>
    <row r="306" spans="1:8">
      <c r="A306" s="2">
        <f t="shared" ca="1" si="32"/>
        <v>45663</v>
      </c>
      <c r="B306" s="3">
        <f t="shared" si="39"/>
        <v>1305</v>
      </c>
      <c r="C306" s="4" t="str">
        <f t="shared" ca="1" si="33"/>
        <v>Milk</v>
      </c>
      <c r="D306" s="4" t="str">
        <f t="shared" ca="1" si="34"/>
        <v>Household</v>
      </c>
      <c r="E306" t="str">
        <f t="shared" ca="1" si="35"/>
        <v>Kano</v>
      </c>
      <c r="F306">
        <f t="shared" ca="1" si="36"/>
        <v>8</v>
      </c>
      <c r="G306">
        <f t="shared" ca="1" si="37"/>
        <v>3700</v>
      </c>
      <c r="H306">
        <f t="shared" ca="1" si="38"/>
        <v>29600</v>
      </c>
    </row>
    <row r="307" spans="1:8">
      <c r="A307" s="2">
        <f t="shared" ca="1" si="32"/>
        <v>45676</v>
      </c>
      <c r="B307" s="3">
        <f t="shared" si="39"/>
        <v>1306</v>
      </c>
      <c r="C307" s="4" t="str">
        <f t="shared" ca="1" si="33"/>
        <v>Milk</v>
      </c>
      <c r="D307" s="4" t="str">
        <f t="shared" ca="1" si="34"/>
        <v>Food</v>
      </c>
      <c r="E307" t="str">
        <f t="shared" ca="1" si="35"/>
        <v>Port Harcourt</v>
      </c>
      <c r="F307">
        <f t="shared" ca="1" si="36"/>
        <v>10</v>
      </c>
      <c r="G307">
        <f t="shared" ca="1" si="37"/>
        <v>5500</v>
      </c>
      <c r="H307">
        <f t="shared" ca="1" si="38"/>
        <v>55000</v>
      </c>
    </row>
    <row r="308" spans="1:8">
      <c r="A308" s="2">
        <f t="shared" ca="1" si="32"/>
        <v>45684</v>
      </c>
      <c r="B308" s="3">
        <f t="shared" si="39"/>
        <v>1307</v>
      </c>
      <c r="C308" s="4" t="str">
        <f t="shared" ca="1" si="33"/>
        <v>Rice</v>
      </c>
      <c r="D308" s="4" t="str">
        <f t="shared" ca="1" si="34"/>
        <v>Beverage</v>
      </c>
      <c r="E308" t="str">
        <f t="shared" ca="1" si="35"/>
        <v>Lagos</v>
      </c>
      <c r="F308">
        <f t="shared" ca="1" si="36"/>
        <v>7</v>
      </c>
      <c r="G308">
        <f t="shared" ca="1" si="37"/>
        <v>700</v>
      </c>
      <c r="H308">
        <f t="shared" ca="1" si="38"/>
        <v>4900</v>
      </c>
    </row>
    <row r="309" spans="1:8">
      <c r="A309" s="2">
        <f t="shared" ca="1" si="32"/>
        <v>45683</v>
      </c>
      <c r="B309" s="3">
        <f t="shared" si="39"/>
        <v>1308</v>
      </c>
      <c r="C309" s="4" t="str">
        <f t="shared" ca="1" si="33"/>
        <v>Bread</v>
      </c>
      <c r="D309" s="4" t="str">
        <f t="shared" ca="1" si="34"/>
        <v>Food</v>
      </c>
      <c r="E309" t="str">
        <f t="shared" ca="1" si="35"/>
        <v>Lagos</v>
      </c>
      <c r="F309">
        <f t="shared" ca="1" si="36"/>
        <v>5</v>
      </c>
      <c r="G309">
        <f t="shared" ca="1" si="37"/>
        <v>2400</v>
      </c>
      <c r="H309">
        <f t="shared" ca="1" si="38"/>
        <v>12000</v>
      </c>
    </row>
    <row r="310" spans="1:8">
      <c r="A310" s="2">
        <f t="shared" ca="1" si="32"/>
        <v>45671</v>
      </c>
      <c r="B310" s="3">
        <f t="shared" si="39"/>
        <v>1309</v>
      </c>
      <c r="C310" s="4" t="str">
        <f t="shared" ca="1" si="33"/>
        <v>Sugar</v>
      </c>
      <c r="D310" s="4" t="str">
        <f t="shared" ca="1" si="34"/>
        <v>Household</v>
      </c>
      <c r="E310" t="str">
        <f t="shared" ca="1" si="35"/>
        <v>Ibadan</v>
      </c>
      <c r="F310">
        <f t="shared" ca="1" si="36"/>
        <v>13</v>
      </c>
      <c r="G310">
        <f t="shared" ca="1" si="37"/>
        <v>1900</v>
      </c>
      <c r="H310">
        <f t="shared" ca="1" si="38"/>
        <v>24700</v>
      </c>
    </row>
    <row r="311" spans="1:8">
      <c r="A311" s="2">
        <f t="shared" ca="1" si="32"/>
        <v>45677</v>
      </c>
      <c r="B311" s="3">
        <f t="shared" si="39"/>
        <v>1310</v>
      </c>
      <c r="C311" s="4" t="str">
        <f t="shared" ca="1" si="33"/>
        <v>Bread</v>
      </c>
      <c r="D311" s="4" t="str">
        <f t="shared" ca="1" si="34"/>
        <v>Food</v>
      </c>
      <c r="E311" t="str">
        <f t="shared" ca="1" si="35"/>
        <v>Port Harcourt</v>
      </c>
      <c r="F311">
        <f t="shared" ca="1" si="36"/>
        <v>19</v>
      </c>
      <c r="G311">
        <f t="shared" ca="1" si="37"/>
        <v>5400</v>
      </c>
      <c r="H311">
        <f t="shared" ca="1" si="38"/>
        <v>102600</v>
      </c>
    </row>
    <row r="312" spans="1:8">
      <c r="A312" s="2">
        <f t="shared" ca="1" si="32"/>
        <v>45662</v>
      </c>
      <c r="B312" s="3">
        <f t="shared" si="39"/>
        <v>1311</v>
      </c>
      <c r="C312" s="4" t="str">
        <f t="shared" ca="1" si="33"/>
        <v>Milk</v>
      </c>
      <c r="D312" s="4" t="str">
        <f t="shared" ca="1" si="34"/>
        <v>Household</v>
      </c>
      <c r="E312" t="str">
        <f t="shared" ca="1" si="35"/>
        <v>Port Harcourt</v>
      </c>
      <c r="F312">
        <f t="shared" ca="1" si="36"/>
        <v>1</v>
      </c>
      <c r="G312">
        <f t="shared" ca="1" si="37"/>
        <v>1400</v>
      </c>
      <c r="H312">
        <f t="shared" ca="1" si="38"/>
        <v>1400</v>
      </c>
    </row>
    <row r="313" spans="1:8">
      <c r="A313" s="2">
        <f t="shared" ca="1" si="32"/>
        <v>45673</v>
      </c>
      <c r="B313" s="3">
        <f t="shared" si="39"/>
        <v>1312</v>
      </c>
      <c r="C313" s="4" t="str">
        <f t="shared" ca="1" si="33"/>
        <v>Milk</v>
      </c>
      <c r="D313" s="4" t="str">
        <f t="shared" ca="1" si="34"/>
        <v>Household</v>
      </c>
      <c r="E313" t="str">
        <f t="shared" ca="1" si="35"/>
        <v>Lagos</v>
      </c>
      <c r="F313">
        <f t="shared" ca="1" si="36"/>
        <v>8</v>
      </c>
      <c r="G313">
        <f t="shared" ca="1" si="37"/>
        <v>600</v>
      </c>
      <c r="H313">
        <f t="shared" ca="1" si="38"/>
        <v>4800</v>
      </c>
    </row>
    <row r="314" spans="1:8">
      <c r="A314" s="2">
        <f t="shared" ca="1" si="32"/>
        <v>45685</v>
      </c>
      <c r="B314" s="3">
        <f t="shared" si="39"/>
        <v>1313</v>
      </c>
      <c r="C314" s="4" t="str">
        <f t="shared" ca="1" si="33"/>
        <v>Beans</v>
      </c>
      <c r="D314" s="4" t="str">
        <f t="shared" ca="1" si="34"/>
        <v>Beverage</v>
      </c>
      <c r="E314" t="str">
        <f t="shared" ca="1" si="35"/>
        <v>Port Harcourt</v>
      </c>
      <c r="F314">
        <f t="shared" ca="1" si="36"/>
        <v>8</v>
      </c>
      <c r="G314">
        <f t="shared" ca="1" si="37"/>
        <v>1200</v>
      </c>
      <c r="H314">
        <f t="shared" ca="1" si="38"/>
        <v>9600</v>
      </c>
    </row>
    <row r="315" spans="1:8">
      <c r="A315" s="2">
        <f t="shared" ca="1" si="32"/>
        <v>45675</v>
      </c>
      <c r="B315" s="3">
        <f t="shared" si="39"/>
        <v>1314</v>
      </c>
      <c r="C315" s="4" t="str">
        <f t="shared" ca="1" si="33"/>
        <v>Noodles</v>
      </c>
      <c r="D315" s="4" t="str">
        <f t="shared" ca="1" si="34"/>
        <v>Beverage</v>
      </c>
      <c r="E315" t="str">
        <f t="shared" ca="1" si="35"/>
        <v>Ibadan</v>
      </c>
      <c r="F315">
        <f t="shared" ca="1" si="36"/>
        <v>8</v>
      </c>
      <c r="G315">
        <f t="shared" ca="1" si="37"/>
        <v>1700</v>
      </c>
      <c r="H315">
        <f t="shared" ca="1" si="38"/>
        <v>13600</v>
      </c>
    </row>
    <row r="316" spans="1:8">
      <c r="A316" s="2">
        <f t="shared" ca="1" si="32"/>
        <v>45675</v>
      </c>
      <c r="B316" s="3">
        <f t="shared" si="39"/>
        <v>1315</v>
      </c>
      <c r="C316" s="4" t="str">
        <f t="shared" ca="1" si="33"/>
        <v>Soft Drink</v>
      </c>
      <c r="D316" s="4" t="str">
        <f t="shared" ca="1" si="34"/>
        <v>Household</v>
      </c>
      <c r="E316" t="str">
        <f t="shared" ca="1" si="35"/>
        <v>Abuja</v>
      </c>
      <c r="F316">
        <f t="shared" ca="1" si="36"/>
        <v>8</v>
      </c>
      <c r="G316">
        <f t="shared" ca="1" si="37"/>
        <v>5000</v>
      </c>
      <c r="H316">
        <f t="shared" ca="1" si="38"/>
        <v>40000</v>
      </c>
    </row>
    <row r="317" spans="1:8">
      <c r="A317" s="2">
        <f t="shared" ca="1" si="32"/>
        <v>45659</v>
      </c>
      <c r="B317" s="3">
        <f t="shared" si="39"/>
        <v>1316</v>
      </c>
      <c r="C317" s="4" t="str">
        <f t="shared" ca="1" si="33"/>
        <v>Noodles</v>
      </c>
      <c r="D317" s="4" t="str">
        <f t="shared" ca="1" si="34"/>
        <v>Household</v>
      </c>
      <c r="E317" t="str">
        <f t="shared" ca="1" si="35"/>
        <v>Kano</v>
      </c>
      <c r="F317">
        <f t="shared" ca="1" si="36"/>
        <v>15</v>
      </c>
      <c r="G317">
        <f t="shared" ca="1" si="37"/>
        <v>4900</v>
      </c>
      <c r="H317">
        <f t="shared" ca="1" si="38"/>
        <v>73500</v>
      </c>
    </row>
    <row r="318" spans="1:8">
      <c r="A318" s="2">
        <f t="shared" ca="1" si="32"/>
        <v>45671</v>
      </c>
      <c r="B318" s="3">
        <f t="shared" si="39"/>
        <v>1317</v>
      </c>
      <c r="C318" s="4" t="str">
        <f t="shared" ca="1" si="33"/>
        <v>Milk</v>
      </c>
      <c r="D318" s="4" t="str">
        <f t="shared" ca="1" si="34"/>
        <v>Household</v>
      </c>
      <c r="E318" t="str">
        <f t="shared" ca="1" si="35"/>
        <v>Port Harcourt</v>
      </c>
      <c r="F318">
        <f t="shared" ca="1" si="36"/>
        <v>8</v>
      </c>
      <c r="G318">
        <f t="shared" ca="1" si="37"/>
        <v>4800</v>
      </c>
      <c r="H318">
        <f t="shared" ca="1" si="38"/>
        <v>38400</v>
      </c>
    </row>
    <row r="319" spans="1:8">
      <c r="A319" s="2">
        <f t="shared" ca="1" si="32"/>
        <v>45668</v>
      </c>
      <c r="B319" s="3">
        <f t="shared" si="39"/>
        <v>1318</v>
      </c>
      <c r="C319" s="4" t="str">
        <f t="shared" ca="1" si="33"/>
        <v>Rice</v>
      </c>
      <c r="D319" s="4" t="str">
        <f t="shared" ca="1" si="34"/>
        <v>Food</v>
      </c>
      <c r="E319" t="str">
        <f t="shared" ca="1" si="35"/>
        <v>Port Harcourt</v>
      </c>
      <c r="F319">
        <f t="shared" ca="1" si="36"/>
        <v>11</v>
      </c>
      <c r="G319">
        <f t="shared" ca="1" si="37"/>
        <v>3100</v>
      </c>
      <c r="H319">
        <f t="shared" ca="1" si="38"/>
        <v>34100</v>
      </c>
    </row>
    <row r="320" spans="1:8">
      <c r="A320" s="2">
        <f t="shared" ca="1" si="32"/>
        <v>45678</v>
      </c>
      <c r="B320" s="3">
        <f t="shared" si="39"/>
        <v>1319</v>
      </c>
      <c r="C320" s="4" t="str">
        <f t="shared" ca="1" si="33"/>
        <v>Noodles</v>
      </c>
      <c r="D320" s="4" t="str">
        <f t="shared" ca="1" si="34"/>
        <v>Beverage</v>
      </c>
      <c r="E320" t="str">
        <f t="shared" ca="1" si="35"/>
        <v>Port Harcourt</v>
      </c>
      <c r="F320">
        <f t="shared" ca="1" si="36"/>
        <v>3</v>
      </c>
      <c r="G320">
        <f t="shared" ca="1" si="37"/>
        <v>4200</v>
      </c>
      <c r="H320">
        <f t="shared" ca="1" si="38"/>
        <v>12600</v>
      </c>
    </row>
    <row r="321" spans="1:8">
      <c r="A321" s="2">
        <f t="shared" ca="1" si="32"/>
        <v>45671</v>
      </c>
      <c r="B321" s="3">
        <f t="shared" si="39"/>
        <v>1320</v>
      </c>
      <c r="C321" s="4" t="str">
        <f t="shared" ca="1" si="33"/>
        <v>Sugar</v>
      </c>
      <c r="D321" s="4" t="str">
        <f t="shared" ca="1" si="34"/>
        <v>Food</v>
      </c>
      <c r="E321" t="str">
        <f t="shared" ca="1" si="35"/>
        <v>Kano</v>
      </c>
      <c r="F321">
        <f t="shared" ca="1" si="36"/>
        <v>6</v>
      </c>
      <c r="G321">
        <f t="shared" ca="1" si="37"/>
        <v>1500</v>
      </c>
      <c r="H321">
        <f t="shared" ca="1" si="38"/>
        <v>9000</v>
      </c>
    </row>
    <row r="322" spans="1:8">
      <c r="A322" s="2">
        <f t="shared" ca="1" si="32"/>
        <v>45659</v>
      </c>
      <c r="B322" s="3">
        <f t="shared" si="39"/>
        <v>1321</v>
      </c>
      <c r="C322" s="4" t="str">
        <f t="shared" ca="1" si="33"/>
        <v>Milk</v>
      </c>
      <c r="D322" s="4" t="str">
        <f t="shared" ca="1" si="34"/>
        <v>Beverage</v>
      </c>
      <c r="E322" t="str">
        <f t="shared" ca="1" si="35"/>
        <v>Lagos</v>
      </c>
      <c r="F322">
        <f t="shared" ca="1" si="36"/>
        <v>17</v>
      </c>
      <c r="G322">
        <f t="shared" ca="1" si="37"/>
        <v>2800</v>
      </c>
      <c r="H322">
        <f t="shared" ca="1" si="38"/>
        <v>47600</v>
      </c>
    </row>
    <row r="323" spans="1:8">
      <c r="A323" s="2">
        <f t="shared" ref="A323:A386" ca="1" si="40">DATE(2025,1,RANDBETWEEN(1,28))</f>
        <v>45668</v>
      </c>
      <c r="B323" s="3">
        <f t="shared" si="39"/>
        <v>1322</v>
      </c>
      <c r="C323" s="4" t="str">
        <f t="shared" ref="C323:C386" ca="1" si="41">CHOOSE(RANDBETWEEN(1,8),"Rice","Beans","Cooking Oil","Milk","Bread","Sugar","Noodles","Soft Drink")</f>
        <v>Noodles</v>
      </c>
      <c r="D323" s="4" t="str">
        <f t="shared" ref="D323:D386" ca="1" si="42">CHOOSE(RANDBETWEEN(1,3),"Food","Beverage","Household")</f>
        <v>Beverage</v>
      </c>
      <c r="E323" t="str">
        <f t="shared" ref="E323:E386" ca="1" si="43">CHOOSE(RANDBETWEEN(1,5),"Lagos","Abuja","Port Harcourt","Ibadan","Kano")</f>
        <v>Kano</v>
      </c>
      <c r="F323">
        <f t="shared" ref="F323:F386" ca="1" si="44">RANDBETWEEN(1,20)</f>
        <v>15</v>
      </c>
      <c r="G323">
        <f t="shared" ref="G323:G386" ca="1" si="45">ROUND(RANDBETWEEN(500,7000)/100,0)*100</f>
        <v>2100</v>
      </c>
      <c r="H323">
        <f t="shared" ref="H323:H386" ca="1" si="46">F323*G323</f>
        <v>31500</v>
      </c>
    </row>
    <row r="324" spans="1:8">
      <c r="A324" s="2">
        <f t="shared" ca="1" si="40"/>
        <v>45680</v>
      </c>
      <c r="B324" s="3">
        <f t="shared" ref="B324:B387" si="47">B323+1</f>
        <v>1323</v>
      </c>
      <c r="C324" s="4" t="str">
        <f t="shared" ca="1" si="41"/>
        <v>Cooking Oil</v>
      </c>
      <c r="D324" s="4" t="str">
        <f t="shared" ca="1" si="42"/>
        <v>Household</v>
      </c>
      <c r="E324" t="str">
        <f t="shared" ca="1" si="43"/>
        <v>Lagos</v>
      </c>
      <c r="F324">
        <f t="shared" ca="1" si="44"/>
        <v>19</v>
      </c>
      <c r="G324">
        <f t="shared" ca="1" si="45"/>
        <v>4800</v>
      </c>
      <c r="H324">
        <f t="shared" ca="1" si="46"/>
        <v>91200</v>
      </c>
    </row>
    <row r="325" spans="1:8">
      <c r="A325" s="2">
        <f t="shared" ca="1" si="40"/>
        <v>45667</v>
      </c>
      <c r="B325" s="3">
        <f t="shared" si="47"/>
        <v>1324</v>
      </c>
      <c r="C325" s="4" t="str">
        <f t="shared" ca="1" si="41"/>
        <v>Cooking Oil</v>
      </c>
      <c r="D325" s="4" t="str">
        <f t="shared" ca="1" si="42"/>
        <v>Beverage</v>
      </c>
      <c r="E325" t="str">
        <f t="shared" ca="1" si="43"/>
        <v>Lagos</v>
      </c>
      <c r="F325">
        <f t="shared" ca="1" si="44"/>
        <v>3</v>
      </c>
      <c r="G325">
        <f t="shared" ca="1" si="45"/>
        <v>7000</v>
      </c>
      <c r="H325">
        <f t="shared" ca="1" si="46"/>
        <v>21000</v>
      </c>
    </row>
    <row r="326" spans="1:8">
      <c r="A326" s="2">
        <f t="shared" ca="1" si="40"/>
        <v>45671</v>
      </c>
      <c r="B326" s="3">
        <f t="shared" si="47"/>
        <v>1325</v>
      </c>
      <c r="C326" s="4" t="str">
        <f t="shared" ca="1" si="41"/>
        <v>Beans</v>
      </c>
      <c r="D326" s="4" t="str">
        <f t="shared" ca="1" si="42"/>
        <v>Household</v>
      </c>
      <c r="E326" t="str">
        <f t="shared" ca="1" si="43"/>
        <v>Lagos</v>
      </c>
      <c r="F326">
        <f t="shared" ca="1" si="44"/>
        <v>16</v>
      </c>
      <c r="G326">
        <f t="shared" ca="1" si="45"/>
        <v>5200</v>
      </c>
      <c r="H326">
        <f t="shared" ca="1" si="46"/>
        <v>83200</v>
      </c>
    </row>
    <row r="327" spans="1:8">
      <c r="A327" s="2">
        <f t="shared" ca="1" si="40"/>
        <v>45676</v>
      </c>
      <c r="B327" s="3">
        <f t="shared" si="47"/>
        <v>1326</v>
      </c>
      <c r="C327" s="4" t="str">
        <f t="shared" ca="1" si="41"/>
        <v>Milk</v>
      </c>
      <c r="D327" s="4" t="str">
        <f t="shared" ca="1" si="42"/>
        <v>Household</v>
      </c>
      <c r="E327" t="str">
        <f t="shared" ca="1" si="43"/>
        <v>Lagos</v>
      </c>
      <c r="F327">
        <f t="shared" ca="1" si="44"/>
        <v>18</v>
      </c>
      <c r="G327">
        <f t="shared" ca="1" si="45"/>
        <v>2600</v>
      </c>
      <c r="H327">
        <f t="shared" ca="1" si="46"/>
        <v>46800</v>
      </c>
    </row>
    <row r="328" spans="1:8">
      <c r="A328" s="2">
        <f t="shared" ca="1" si="40"/>
        <v>45668</v>
      </c>
      <c r="B328" s="3">
        <f t="shared" si="47"/>
        <v>1327</v>
      </c>
      <c r="C328" s="4" t="str">
        <f t="shared" ca="1" si="41"/>
        <v>Cooking Oil</v>
      </c>
      <c r="D328" s="4" t="str">
        <f t="shared" ca="1" si="42"/>
        <v>Household</v>
      </c>
      <c r="E328" t="str">
        <f t="shared" ca="1" si="43"/>
        <v>Lagos</v>
      </c>
      <c r="F328">
        <f t="shared" ca="1" si="44"/>
        <v>8</v>
      </c>
      <c r="G328">
        <f t="shared" ca="1" si="45"/>
        <v>6800</v>
      </c>
      <c r="H328">
        <f t="shared" ca="1" si="46"/>
        <v>54400</v>
      </c>
    </row>
    <row r="329" spans="1:8">
      <c r="A329" s="2">
        <f t="shared" ca="1" si="40"/>
        <v>45661</v>
      </c>
      <c r="B329" s="3">
        <f t="shared" si="47"/>
        <v>1328</v>
      </c>
      <c r="C329" s="4" t="str">
        <f t="shared" ca="1" si="41"/>
        <v>Rice</v>
      </c>
      <c r="D329" s="4" t="str">
        <f t="shared" ca="1" si="42"/>
        <v>Beverage</v>
      </c>
      <c r="E329" t="str">
        <f t="shared" ca="1" si="43"/>
        <v>Lagos</v>
      </c>
      <c r="F329">
        <f t="shared" ca="1" si="44"/>
        <v>18</v>
      </c>
      <c r="G329">
        <f t="shared" ca="1" si="45"/>
        <v>7000</v>
      </c>
      <c r="H329">
        <f t="shared" ca="1" si="46"/>
        <v>126000</v>
      </c>
    </row>
    <row r="330" spans="1:8">
      <c r="A330" s="2">
        <f t="shared" ca="1" si="40"/>
        <v>45663</v>
      </c>
      <c r="B330" s="3">
        <f t="shared" si="47"/>
        <v>1329</v>
      </c>
      <c r="C330" s="4" t="str">
        <f t="shared" ca="1" si="41"/>
        <v>Milk</v>
      </c>
      <c r="D330" s="4" t="str">
        <f t="shared" ca="1" si="42"/>
        <v>Household</v>
      </c>
      <c r="E330" t="str">
        <f t="shared" ca="1" si="43"/>
        <v>Ibadan</v>
      </c>
      <c r="F330">
        <f t="shared" ca="1" si="44"/>
        <v>9</v>
      </c>
      <c r="G330">
        <f t="shared" ca="1" si="45"/>
        <v>5200</v>
      </c>
      <c r="H330">
        <f t="shared" ca="1" si="46"/>
        <v>46800</v>
      </c>
    </row>
    <row r="331" spans="1:8">
      <c r="A331" s="2">
        <f t="shared" ca="1" si="40"/>
        <v>45670</v>
      </c>
      <c r="B331" s="3">
        <f t="shared" si="47"/>
        <v>1330</v>
      </c>
      <c r="C331" s="4" t="str">
        <f t="shared" ca="1" si="41"/>
        <v>Cooking Oil</v>
      </c>
      <c r="D331" s="4" t="str">
        <f t="shared" ca="1" si="42"/>
        <v>Household</v>
      </c>
      <c r="E331" t="str">
        <f t="shared" ca="1" si="43"/>
        <v>Port Harcourt</v>
      </c>
      <c r="F331">
        <f t="shared" ca="1" si="44"/>
        <v>3</v>
      </c>
      <c r="G331">
        <f t="shared" ca="1" si="45"/>
        <v>4300</v>
      </c>
      <c r="H331">
        <f t="shared" ca="1" si="46"/>
        <v>12900</v>
      </c>
    </row>
    <row r="332" spans="1:8">
      <c r="A332" s="2">
        <f t="shared" ca="1" si="40"/>
        <v>45670</v>
      </c>
      <c r="B332" s="3">
        <f t="shared" si="47"/>
        <v>1331</v>
      </c>
      <c r="C332" s="4" t="str">
        <f t="shared" ca="1" si="41"/>
        <v>Beans</v>
      </c>
      <c r="D332" s="4" t="str">
        <f t="shared" ca="1" si="42"/>
        <v>Household</v>
      </c>
      <c r="E332" t="str">
        <f t="shared" ca="1" si="43"/>
        <v>Kano</v>
      </c>
      <c r="F332">
        <f t="shared" ca="1" si="44"/>
        <v>16</v>
      </c>
      <c r="G332">
        <f t="shared" ca="1" si="45"/>
        <v>2800</v>
      </c>
      <c r="H332">
        <f t="shared" ca="1" si="46"/>
        <v>44800</v>
      </c>
    </row>
    <row r="333" spans="1:8">
      <c r="A333" s="2">
        <f t="shared" ca="1" si="40"/>
        <v>45659</v>
      </c>
      <c r="B333" s="3">
        <f t="shared" si="47"/>
        <v>1332</v>
      </c>
      <c r="C333" s="4" t="str">
        <f t="shared" ca="1" si="41"/>
        <v>Milk</v>
      </c>
      <c r="D333" s="4" t="str">
        <f t="shared" ca="1" si="42"/>
        <v>Food</v>
      </c>
      <c r="E333" t="str">
        <f t="shared" ca="1" si="43"/>
        <v>Ibadan</v>
      </c>
      <c r="F333">
        <f t="shared" ca="1" si="44"/>
        <v>18</v>
      </c>
      <c r="G333">
        <f t="shared" ca="1" si="45"/>
        <v>4700</v>
      </c>
      <c r="H333">
        <f t="shared" ca="1" si="46"/>
        <v>84600</v>
      </c>
    </row>
    <row r="334" spans="1:8">
      <c r="A334" s="2">
        <f t="shared" ca="1" si="40"/>
        <v>45662</v>
      </c>
      <c r="B334" s="3">
        <f t="shared" si="47"/>
        <v>1333</v>
      </c>
      <c r="C334" s="4" t="str">
        <f t="shared" ca="1" si="41"/>
        <v>Soft Drink</v>
      </c>
      <c r="D334" s="4" t="str">
        <f t="shared" ca="1" si="42"/>
        <v>Beverage</v>
      </c>
      <c r="E334" t="str">
        <f t="shared" ca="1" si="43"/>
        <v>Lagos</v>
      </c>
      <c r="F334">
        <f t="shared" ca="1" si="44"/>
        <v>1</v>
      </c>
      <c r="G334">
        <f t="shared" ca="1" si="45"/>
        <v>5400</v>
      </c>
      <c r="H334">
        <f t="shared" ca="1" si="46"/>
        <v>5400</v>
      </c>
    </row>
    <row r="335" spans="1:8">
      <c r="A335" s="2">
        <f t="shared" ca="1" si="40"/>
        <v>45676</v>
      </c>
      <c r="B335" s="3">
        <f t="shared" si="47"/>
        <v>1334</v>
      </c>
      <c r="C335" s="4" t="str">
        <f t="shared" ca="1" si="41"/>
        <v>Sugar</v>
      </c>
      <c r="D335" s="4" t="str">
        <f t="shared" ca="1" si="42"/>
        <v>Beverage</v>
      </c>
      <c r="E335" t="str">
        <f t="shared" ca="1" si="43"/>
        <v>Lagos</v>
      </c>
      <c r="F335">
        <f t="shared" ca="1" si="44"/>
        <v>13</v>
      </c>
      <c r="G335">
        <f t="shared" ca="1" si="45"/>
        <v>2800</v>
      </c>
      <c r="H335">
        <f t="shared" ca="1" si="46"/>
        <v>36400</v>
      </c>
    </row>
    <row r="336" spans="1:8">
      <c r="A336" s="2">
        <f t="shared" ca="1" si="40"/>
        <v>45662</v>
      </c>
      <c r="B336" s="3">
        <f t="shared" si="47"/>
        <v>1335</v>
      </c>
      <c r="C336" s="4" t="str">
        <f t="shared" ca="1" si="41"/>
        <v>Beans</v>
      </c>
      <c r="D336" s="4" t="str">
        <f t="shared" ca="1" si="42"/>
        <v>Household</v>
      </c>
      <c r="E336" t="str">
        <f t="shared" ca="1" si="43"/>
        <v>Lagos</v>
      </c>
      <c r="F336">
        <f t="shared" ca="1" si="44"/>
        <v>13</v>
      </c>
      <c r="G336">
        <f t="shared" ca="1" si="45"/>
        <v>1600</v>
      </c>
      <c r="H336">
        <f t="shared" ca="1" si="46"/>
        <v>20800</v>
      </c>
    </row>
    <row r="337" spans="1:8">
      <c r="A337" s="2">
        <f t="shared" ca="1" si="40"/>
        <v>45681</v>
      </c>
      <c r="B337" s="3">
        <f t="shared" si="47"/>
        <v>1336</v>
      </c>
      <c r="C337" s="4" t="str">
        <f t="shared" ca="1" si="41"/>
        <v>Noodles</v>
      </c>
      <c r="D337" s="4" t="str">
        <f t="shared" ca="1" si="42"/>
        <v>Beverage</v>
      </c>
      <c r="E337" t="str">
        <f t="shared" ca="1" si="43"/>
        <v>Kano</v>
      </c>
      <c r="F337">
        <f t="shared" ca="1" si="44"/>
        <v>18</v>
      </c>
      <c r="G337">
        <f t="shared" ca="1" si="45"/>
        <v>3700</v>
      </c>
      <c r="H337">
        <f t="shared" ca="1" si="46"/>
        <v>66600</v>
      </c>
    </row>
    <row r="338" spans="1:8">
      <c r="A338" s="2">
        <f t="shared" ca="1" si="40"/>
        <v>45666</v>
      </c>
      <c r="B338" s="3">
        <f t="shared" si="47"/>
        <v>1337</v>
      </c>
      <c r="C338" s="4" t="str">
        <f t="shared" ca="1" si="41"/>
        <v>Milk</v>
      </c>
      <c r="D338" s="4" t="str">
        <f t="shared" ca="1" si="42"/>
        <v>Household</v>
      </c>
      <c r="E338" t="str">
        <f t="shared" ca="1" si="43"/>
        <v>Abuja</v>
      </c>
      <c r="F338">
        <f t="shared" ca="1" si="44"/>
        <v>1</v>
      </c>
      <c r="G338">
        <f t="shared" ca="1" si="45"/>
        <v>5300</v>
      </c>
      <c r="H338">
        <f t="shared" ca="1" si="46"/>
        <v>5300</v>
      </c>
    </row>
    <row r="339" spans="1:8">
      <c r="A339" s="2">
        <f t="shared" ca="1" si="40"/>
        <v>45681</v>
      </c>
      <c r="B339" s="3">
        <f t="shared" si="47"/>
        <v>1338</v>
      </c>
      <c r="C339" s="4" t="str">
        <f t="shared" ca="1" si="41"/>
        <v>Cooking Oil</v>
      </c>
      <c r="D339" s="4" t="str">
        <f t="shared" ca="1" si="42"/>
        <v>Food</v>
      </c>
      <c r="E339" t="str">
        <f t="shared" ca="1" si="43"/>
        <v>Lagos</v>
      </c>
      <c r="F339">
        <f t="shared" ca="1" si="44"/>
        <v>16</v>
      </c>
      <c r="G339">
        <f t="shared" ca="1" si="45"/>
        <v>3200</v>
      </c>
      <c r="H339">
        <f t="shared" ca="1" si="46"/>
        <v>51200</v>
      </c>
    </row>
    <row r="340" spans="1:8">
      <c r="A340" s="2">
        <f t="shared" ca="1" si="40"/>
        <v>45664</v>
      </c>
      <c r="B340" s="3">
        <f t="shared" si="47"/>
        <v>1339</v>
      </c>
      <c r="C340" s="4" t="str">
        <f t="shared" ca="1" si="41"/>
        <v>Bread</v>
      </c>
      <c r="D340" s="4" t="str">
        <f t="shared" ca="1" si="42"/>
        <v>Household</v>
      </c>
      <c r="E340" t="str">
        <f t="shared" ca="1" si="43"/>
        <v>Kano</v>
      </c>
      <c r="F340">
        <f t="shared" ca="1" si="44"/>
        <v>7</v>
      </c>
      <c r="G340">
        <f t="shared" ca="1" si="45"/>
        <v>4000</v>
      </c>
      <c r="H340">
        <f t="shared" ca="1" si="46"/>
        <v>28000</v>
      </c>
    </row>
    <row r="341" spans="1:8">
      <c r="A341" s="2">
        <f t="shared" ca="1" si="40"/>
        <v>45663</v>
      </c>
      <c r="B341" s="3">
        <f t="shared" si="47"/>
        <v>1340</v>
      </c>
      <c r="C341" s="4" t="str">
        <f t="shared" ca="1" si="41"/>
        <v>Noodles</v>
      </c>
      <c r="D341" s="4" t="str">
        <f t="shared" ca="1" si="42"/>
        <v>Food</v>
      </c>
      <c r="E341" t="str">
        <f t="shared" ca="1" si="43"/>
        <v>Ibadan</v>
      </c>
      <c r="F341">
        <f t="shared" ca="1" si="44"/>
        <v>2</v>
      </c>
      <c r="G341">
        <f t="shared" ca="1" si="45"/>
        <v>3500</v>
      </c>
      <c r="H341">
        <f t="shared" ca="1" si="46"/>
        <v>7000</v>
      </c>
    </row>
    <row r="342" spans="1:8">
      <c r="A342" s="2">
        <f t="shared" ca="1" si="40"/>
        <v>45684</v>
      </c>
      <c r="B342" s="3">
        <f t="shared" si="47"/>
        <v>1341</v>
      </c>
      <c r="C342" s="4" t="str">
        <f t="shared" ca="1" si="41"/>
        <v>Soft Drink</v>
      </c>
      <c r="D342" s="4" t="str">
        <f t="shared" ca="1" si="42"/>
        <v>Food</v>
      </c>
      <c r="E342" t="str">
        <f t="shared" ca="1" si="43"/>
        <v>Kano</v>
      </c>
      <c r="F342">
        <f t="shared" ca="1" si="44"/>
        <v>15</v>
      </c>
      <c r="G342">
        <f t="shared" ca="1" si="45"/>
        <v>600</v>
      </c>
      <c r="H342">
        <f t="shared" ca="1" si="46"/>
        <v>9000</v>
      </c>
    </row>
    <row r="343" spans="1:8">
      <c r="A343" s="2">
        <f t="shared" ca="1" si="40"/>
        <v>45685</v>
      </c>
      <c r="B343" s="3">
        <f t="shared" si="47"/>
        <v>1342</v>
      </c>
      <c r="C343" s="4" t="str">
        <f t="shared" ca="1" si="41"/>
        <v>Noodles</v>
      </c>
      <c r="D343" s="4" t="str">
        <f t="shared" ca="1" si="42"/>
        <v>Food</v>
      </c>
      <c r="E343" t="str">
        <f t="shared" ca="1" si="43"/>
        <v>Abuja</v>
      </c>
      <c r="F343">
        <f t="shared" ca="1" si="44"/>
        <v>12</v>
      </c>
      <c r="G343">
        <f t="shared" ca="1" si="45"/>
        <v>2400</v>
      </c>
      <c r="H343">
        <f t="shared" ca="1" si="46"/>
        <v>28800</v>
      </c>
    </row>
    <row r="344" spans="1:8">
      <c r="A344" s="2">
        <f t="shared" ca="1" si="40"/>
        <v>45663</v>
      </c>
      <c r="B344" s="3">
        <f t="shared" si="47"/>
        <v>1343</v>
      </c>
      <c r="C344" s="4" t="str">
        <f t="shared" ca="1" si="41"/>
        <v>Soft Drink</v>
      </c>
      <c r="D344" s="4" t="str">
        <f t="shared" ca="1" si="42"/>
        <v>Beverage</v>
      </c>
      <c r="E344" t="str">
        <f t="shared" ca="1" si="43"/>
        <v>Ibadan</v>
      </c>
      <c r="F344">
        <f t="shared" ca="1" si="44"/>
        <v>16</v>
      </c>
      <c r="G344">
        <f t="shared" ca="1" si="45"/>
        <v>4400</v>
      </c>
      <c r="H344">
        <f t="shared" ca="1" si="46"/>
        <v>70400</v>
      </c>
    </row>
    <row r="345" spans="1:8">
      <c r="A345" s="2">
        <f t="shared" ca="1" si="40"/>
        <v>45672</v>
      </c>
      <c r="B345" s="3">
        <f t="shared" si="47"/>
        <v>1344</v>
      </c>
      <c r="C345" s="4" t="str">
        <f t="shared" ca="1" si="41"/>
        <v>Milk</v>
      </c>
      <c r="D345" s="4" t="str">
        <f t="shared" ca="1" si="42"/>
        <v>Food</v>
      </c>
      <c r="E345" t="str">
        <f t="shared" ca="1" si="43"/>
        <v>Kano</v>
      </c>
      <c r="F345">
        <f t="shared" ca="1" si="44"/>
        <v>13</v>
      </c>
      <c r="G345">
        <f t="shared" ca="1" si="45"/>
        <v>3500</v>
      </c>
      <c r="H345">
        <f t="shared" ca="1" si="46"/>
        <v>45500</v>
      </c>
    </row>
    <row r="346" spans="1:8">
      <c r="A346" s="2">
        <f t="shared" ca="1" si="40"/>
        <v>45667</v>
      </c>
      <c r="B346" s="3">
        <f t="shared" si="47"/>
        <v>1345</v>
      </c>
      <c r="C346" s="4" t="str">
        <f t="shared" ca="1" si="41"/>
        <v>Sugar</v>
      </c>
      <c r="D346" s="4" t="str">
        <f t="shared" ca="1" si="42"/>
        <v>Household</v>
      </c>
      <c r="E346" t="str">
        <f t="shared" ca="1" si="43"/>
        <v>Kano</v>
      </c>
      <c r="F346">
        <f t="shared" ca="1" si="44"/>
        <v>15</v>
      </c>
      <c r="G346">
        <f t="shared" ca="1" si="45"/>
        <v>5800</v>
      </c>
      <c r="H346">
        <f t="shared" ca="1" si="46"/>
        <v>87000</v>
      </c>
    </row>
    <row r="347" spans="1:8">
      <c r="A347" s="2">
        <f t="shared" ca="1" si="40"/>
        <v>45674</v>
      </c>
      <c r="B347" s="3">
        <f t="shared" si="47"/>
        <v>1346</v>
      </c>
      <c r="C347" s="4" t="str">
        <f t="shared" ca="1" si="41"/>
        <v>Beans</v>
      </c>
      <c r="D347" s="4" t="str">
        <f t="shared" ca="1" si="42"/>
        <v>Beverage</v>
      </c>
      <c r="E347" t="str">
        <f t="shared" ca="1" si="43"/>
        <v>Kano</v>
      </c>
      <c r="F347">
        <f t="shared" ca="1" si="44"/>
        <v>7</v>
      </c>
      <c r="G347">
        <f t="shared" ca="1" si="45"/>
        <v>5200</v>
      </c>
      <c r="H347">
        <f t="shared" ca="1" si="46"/>
        <v>36400</v>
      </c>
    </row>
    <row r="348" spans="1:8">
      <c r="A348" s="2">
        <f t="shared" ca="1" si="40"/>
        <v>45676</v>
      </c>
      <c r="B348" s="3">
        <f t="shared" si="47"/>
        <v>1347</v>
      </c>
      <c r="C348" s="4" t="str">
        <f t="shared" ca="1" si="41"/>
        <v>Noodles</v>
      </c>
      <c r="D348" s="4" t="str">
        <f t="shared" ca="1" si="42"/>
        <v>Household</v>
      </c>
      <c r="E348" t="str">
        <f t="shared" ca="1" si="43"/>
        <v>Kano</v>
      </c>
      <c r="F348">
        <f t="shared" ca="1" si="44"/>
        <v>16</v>
      </c>
      <c r="G348">
        <f t="shared" ca="1" si="45"/>
        <v>1800</v>
      </c>
      <c r="H348">
        <f t="shared" ca="1" si="46"/>
        <v>28800</v>
      </c>
    </row>
    <row r="349" spans="1:8">
      <c r="A349" s="2">
        <f t="shared" ca="1" si="40"/>
        <v>45676</v>
      </c>
      <c r="B349" s="3">
        <f t="shared" si="47"/>
        <v>1348</v>
      </c>
      <c r="C349" s="4" t="str">
        <f t="shared" ca="1" si="41"/>
        <v>Sugar</v>
      </c>
      <c r="D349" s="4" t="str">
        <f t="shared" ca="1" si="42"/>
        <v>Food</v>
      </c>
      <c r="E349" t="str">
        <f t="shared" ca="1" si="43"/>
        <v>Lagos</v>
      </c>
      <c r="F349">
        <f t="shared" ca="1" si="44"/>
        <v>19</v>
      </c>
      <c r="G349">
        <f t="shared" ca="1" si="45"/>
        <v>4100</v>
      </c>
      <c r="H349">
        <f t="shared" ca="1" si="46"/>
        <v>77900</v>
      </c>
    </row>
    <row r="350" spans="1:8">
      <c r="A350" s="2">
        <f t="shared" ca="1" si="40"/>
        <v>45669</v>
      </c>
      <c r="B350" s="3">
        <f t="shared" si="47"/>
        <v>1349</v>
      </c>
      <c r="C350" s="4" t="str">
        <f t="shared" ca="1" si="41"/>
        <v>Sugar</v>
      </c>
      <c r="D350" s="4" t="str">
        <f t="shared" ca="1" si="42"/>
        <v>Household</v>
      </c>
      <c r="E350" t="str">
        <f t="shared" ca="1" si="43"/>
        <v>Port Harcourt</v>
      </c>
      <c r="F350">
        <f t="shared" ca="1" si="44"/>
        <v>8</v>
      </c>
      <c r="G350">
        <f t="shared" ca="1" si="45"/>
        <v>2600</v>
      </c>
      <c r="H350">
        <f t="shared" ca="1" si="46"/>
        <v>20800</v>
      </c>
    </row>
    <row r="351" spans="1:8">
      <c r="A351" s="2">
        <f t="shared" ca="1" si="40"/>
        <v>45676</v>
      </c>
      <c r="B351" s="3">
        <f t="shared" si="47"/>
        <v>1350</v>
      </c>
      <c r="C351" s="4" t="str">
        <f t="shared" ca="1" si="41"/>
        <v>Milk</v>
      </c>
      <c r="D351" s="4" t="str">
        <f t="shared" ca="1" si="42"/>
        <v>Food</v>
      </c>
      <c r="E351" t="str">
        <f t="shared" ca="1" si="43"/>
        <v>Lagos</v>
      </c>
      <c r="F351">
        <f t="shared" ca="1" si="44"/>
        <v>5</v>
      </c>
      <c r="G351">
        <f t="shared" ca="1" si="45"/>
        <v>2500</v>
      </c>
      <c r="H351">
        <f t="shared" ca="1" si="46"/>
        <v>12500</v>
      </c>
    </row>
    <row r="352" spans="1:8">
      <c r="A352" s="2">
        <f t="shared" ca="1" si="40"/>
        <v>45669</v>
      </c>
      <c r="B352" s="3">
        <f t="shared" si="47"/>
        <v>1351</v>
      </c>
      <c r="C352" s="4" t="str">
        <f t="shared" ca="1" si="41"/>
        <v>Sugar</v>
      </c>
      <c r="D352" s="4" t="str">
        <f t="shared" ca="1" si="42"/>
        <v>Beverage</v>
      </c>
      <c r="E352" t="str">
        <f t="shared" ca="1" si="43"/>
        <v>Abuja</v>
      </c>
      <c r="F352">
        <f t="shared" ca="1" si="44"/>
        <v>16</v>
      </c>
      <c r="G352">
        <f t="shared" ca="1" si="45"/>
        <v>3500</v>
      </c>
      <c r="H352">
        <f t="shared" ca="1" si="46"/>
        <v>56000</v>
      </c>
    </row>
    <row r="353" spans="1:8">
      <c r="A353" s="2">
        <f t="shared" ca="1" si="40"/>
        <v>45666</v>
      </c>
      <c r="B353" s="3">
        <f t="shared" si="47"/>
        <v>1352</v>
      </c>
      <c r="C353" s="4" t="str">
        <f t="shared" ca="1" si="41"/>
        <v>Cooking Oil</v>
      </c>
      <c r="D353" s="4" t="str">
        <f t="shared" ca="1" si="42"/>
        <v>Beverage</v>
      </c>
      <c r="E353" t="str">
        <f t="shared" ca="1" si="43"/>
        <v>Port Harcourt</v>
      </c>
      <c r="F353">
        <f t="shared" ca="1" si="44"/>
        <v>20</v>
      </c>
      <c r="G353">
        <f t="shared" ca="1" si="45"/>
        <v>6500</v>
      </c>
      <c r="H353">
        <f t="shared" ca="1" si="46"/>
        <v>130000</v>
      </c>
    </row>
    <row r="354" spans="1:8">
      <c r="A354" s="2">
        <f t="shared" ca="1" si="40"/>
        <v>45681</v>
      </c>
      <c r="B354" s="3">
        <f t="shared" si="47"/>
        <v>1353</v>
      </c>
      <c r="C354" s="4" t="str">
        <f t="shared" ca="1" si="41"/>
        <v>Sugar</v>
      </c>
      <c r="D354" s="4" t="str">
        <f t="shared" ca="1" si="42"/>
        <v>Beverage</v>
      </c>
      <c r="E354" t="str">
        <f t="shared" ca="1" si="43"/>
        <v>Kano</v>
      </c>
      <c r="F354">
        <f t="shared" ca="1" si="44"/>
        <v>3</v>
      </c>
      <c r="G354">
        <f t="shared" ca="1" si="45"/>
        <v>500</v>
      </c>
      <c r="H354">
        <f t="shared" ca="1" si="46"/>
        <v>1500</v>
      </c>
    </row>
    <row r="355" spans="1:8">
      <c r="A355" s="2">
        <f t="shared" ca="1" si="40"/>
        <v>45669</v>
      </c>
      <c r="B355" s="3">
        <f t="shared" si="47"/>
        <v>1354</v>
      </c>
      <c r="C355" s="4" t="str">
        <f t="shared" ca="1" si="41"/>
        <v>Bread</v>
      </c>
      <c r="D355" s="4" t="str">
        <f t="shared" ca="1" si="42"/>
        <v>Beverage</v>
      </c>
      <c r="E355" t="str">
        <f t="shared" ca="1" si="43"/>
        <v>Ibadan</v>
      </c>
      <c r="F355">
        <f t="shared" ca="1" si="44"/>
        <v>2</v>
      </c>
      <c r="G355">
        <f t="shared" ca="1" si="45"/>
        <v>5400</v>
      </c>
      <c r="H355">
        <f t="shared" ca="1" si="46"/>
        <v>10800</v>
      </c>
    </row>
    <row r="356" spans="1:8">
      <c r="A356" s="2">
        <f t="shared" ca="1" si="40"/>
        <v>45658</v>
      </c>
      <c r="B356" s="3">
        <f t="shared" si="47"/>
        <v>1355</v>
      </c>
      <c r="C356" s="4" t="str">
        <f t="shared" ca="1" si="41"/>
        <v>Bread</v>
      </c>
      <c r="D356" s="4" t="str">
        <f t="shared" ca="1" si="42"/>
        <v>Household</v>
      </c>
      <c r="E356" t="str">
        <f t="shared" ca="1" si="43"/>
        <v>Ibadan</v>
      </c>
      <c r="F356">
        <f t="shared" ca="1" si="44"/>
        <v>20</v>
      </c>
      <c r="G356">
        <f t="shared" ca="1" si="45"/>
        <v>2900</v>
      </c>
      <c r="H356">
        <f t="shared" ca="1" si="46"/>
        <v>58000</v>
      </c>
    </row>
    <row r="357" spans="1:8">
      <c r="A357" s="2">
        <f t="shared" ca="1" si="40"/>
        <v>45662</v>
      </c>
      <c r="B357" s="3">
        <f t="shared" si="47"/>
        <v>1356</v>
      </c>
      <c r="C357" s="4" t="str">
        <f t="shared" ca="1" si="41"/>
        <v>Beans</v>
      </c>
      <c r="D357" s="4" t="str">
        <f t="shared" ca="1" si="42"/>
        <v>Food</v>
      </c>
      <c r="E357" t="str">
        <f t="shared" ca="1" si="43"/>
        <v>Lagos</v>
      </c>
      <c r="F357">
        <f t="shared" ca="1" si="44"/>
        <v>15</v>
      </c>
      <c r="G357">
        <f t="shared" ca="1" si="45"/>
        <v>6500</v>
      </c>
      <c r="H357">
        <f t="shared" ca="1" si="46"/>
        <v>97500</v>
      </c>
    </row>
    <row r="358" spans="1:8">
      <c r="A358" s="2">
        <f t="shared" ca="1" si="40"/>
        <v>45674</v>
      </c>
      <c r="B358" s="3">
        <f t="shared" si="47"/>
        <v>1357</v>
      </c>
      <c r="C358" s="4" t="str">
        <f t="shared" ca="1" si="41"/>
        <v>Soft Drink</v>
      </c>
      <c r="D358" s="4" t="str">
        <f t="shared" ca="1" si="42"/>
        <v>Beverage</v>
      </c>
      <c r="E358" t="str">
        <f t="shared" ca="1" si="43"/>
        <v>Kano</v>
      </c>
      <c r="F358">
        <f t="shared" ca="1" si="44"/>
        <v>12</v>
      </c>
      <c r="G358">
        <f t="shared" ca="1" si="45"/>
        <v>1500</v>
      </c>
      <c r="H358">
        <f t="shared" ca="1" si="46"/>
        <v>18000</v>
      </c>
    </row>
    <row r="359" spans="1:8">
      <c r="A359" s="2">
        <f t="shared" ca="1" si="40"/>
        <v>45669</v>
      </c>
      <c r="B359" s="3">
        <f t="shared" si="47"/>
        <v>1358</v>
      </c>
      <c r="C359" s="4" t="str">
        <f t="shared" ca="1" si="41"/>
        <v>Sugar</v>
      </c>
      <c r="D359" s="4" t="str">
        <f t="shared" ca="1" si="42"/>
        <v>Beverage</v>
      </c>
      <c r="E359" t="str">
        <f t="shared" ca="1" si="43"/>
        <v>Lagos</v>
      </c>
      <c r="F359">
        <f t="shared" ca="1" si="44"/>
        <v>10</v>
      </c>
      <c r="G359">
        <f t="shared" ca="1" si="45"/>
        <v>4900</v>
      </c>
      <c r="H359">
        <f t="shared" ca="1" si="46"/>
        <v>49000</v>
      </c>
    </row>
    <row r="360" spans="1:8">
      <c r="A360" s="2">
        <f t="shared" ca="1" si="40"/>
        <v>45658</v>
      </c>
      <c r="B360" s="3">
        <f t="shared" si="47"/>
        <v>1359</v>
      </c>
      <c r="C360" s="4" t="str">
        <f t="shared" ca="1" si="41"/>
        <v>Cooking Oil</v>
      </c>
      <c r="D360" s="4" t="str">
        <f t="shared" ca="1" si="42"/>
        <v>Food</v>
      </c>
      <c r="E360" t="str">
        <f t="shared" ca="1" si="43"/>
        <v>Kano</v>
      </c>
      <c r="F360">
        <f t="shared" ca="1" si="44"/>
        <v>9</v>
      </c>
      <c r="G360">
        <f t="shared" ca="1" si="45"/>
        <v>1000</v>
      </c>
      <c r="H360">
        <f t="shared" ca="1" si="46"/>
        <v>9000</v>
      </c>
    </row>
    <row r="361" spans="1:8">
      <c r="A361" s="2">
        <f t="shared" ca="1" si="40"/>
        <v>45665</v>
      </c>
      <c r="B361" s="3">
        <f t="shared" si="47"/>
        <v>1360</v>
      </c>
      <c r="C361" s="4" t="str">
        <f t="shared" ca="1" si="41"/>
        <v>Bread</v>
      </c>
      <c r="D361" s="4" t="str">
        <f t="shared" ca="1" si="42"/>
        <v>Food</v>
      </c>
      <c r="E361" t="str">
        <f t="shared" ca="1" si="43"/>
        <v>Abuja</v>
      </c>
      <c r="F361">
        <f t="shared" ca="1" si="44"/>
        <v>5</v>
      </c>
      <c r="G361">
        <f t="shared" ca="1" si="45"/>
        <v>6700</v>
      </c>
      <c r="H361">
        <f t="shared" ca="1" si="46"/>
        <v>33500</v>
      </c>
    </row>
    <row r="362" spans="1:8">
      <c r="A362" s="2">
        <f t="shared" ca="1" si="40"/>
        <v>45671</v>
      </c>
      <c r="B362" s="3">
        <f t="shared" si="47"/>
        <v>1361</v>
      </c>
      <c r="C362" s="4" t="str">
        <f t="shared" ca="1" si="41"/>
        <v>Soft Drink</v>
      </c>
      <c r="D362" s="4" t="str">
        <f t="shared" ca="1" si="42"/>
        <v>Beverage</v>
      </c>
      <c r="E362" t="str">
        <f t="shared" ca="1" si="43"/>
        <v>Kano</v>
      </c>
      <c r="F362">
        <f t="shared" ca="1" si="44"/>
        <v>4</v>
      </c>
      <c r="G362">
        <f t="shared" ca="1" si="45"/>
        <v>2800</v>
      </c>
      <c r="H362">
        <f t="shared" ca="1" si="46"/>
        <v>11200</v>
      </c>
    </row>
    <row r="363" spans="1:8">
      <c r="A363" s="2">
        <f t="shared" ca="1" si="40"/>
        <v>45672</v>
      </c>
      <c r="B363" s="3">
        <f t="shared" si="47"/>
        <v>1362</v>
      </c>
      <c r="C363" s="4" t="str">
        <f t="shared" ca="1" si="41"/>
        <v>Rice</v>
      </c>
      <c r="D363" s="4" t="str">
        <f t="shared" ca="1" si="42"/>
        <v>Household</v>
      </c>
      <c r="E363" t="str">
        <f t="shared" ca="1" si="43"/>
        <v>Ibadan</v>
      </c>
      <c r="F363">
        <f t="shared" ca="1" si="44"/>
        <v>14</v>
      </c>
      <c r="G363">
        <f t="shared" ca="1" si="45"/>
        <v>4900</v>
      </c>
      <c r="H363">
        <f t="shared" ca="1" si="46"/>
        <v>68600</v>
      </c>
    </row>
    <row r="364" spans="1:8">
      <c r="A364" s="2">
        <f t="shared" ca="1" si="40"/>
        <v>45678</v>
      </c>
      <c r="B364" s="3">
        <f t="shared" si="47"/>
        <v>1363</v>
      </c>
      <c r="C364" s="4" t="str">
        <f t="shared" ca="1" si="41"/>
        <v>Beans</v>
      </c>
      <c r="D364" s="4" t="str">
        <f t="shared" ca="1" si="42"/>
        <v>Household</v>
      </c>
      <c r="E364" t="str">
        <f t="shared" ca="1" si="43"/>
        <v>Port Harcourt</v>
      </c>
      <c r="F364">
        <f t="shared" ca="1" si="44"/>
        <v>20</v>
      </c>
      <c r="G364">
        <f t="shared" ca="1" si="45"/>
        <v>3100</v>
      </c>
      <c r="H364">
        <f t="shared" ca="1" si="46"/>
        <v>62000</v>
      </c>
    </row>
    <row r="365" spans="1:8">
      <c r="A365" s="2">
        <f t="shared" ca="1" si="40"/>
        <v>45674</v>
      </c>
      <c r="B365" s="3">
        <f t="shared" si="47"/>
        <v>1364</v>
      </c>
      <c r="C365" s="4" t="str">
        <f t="shared" ca="1" si="41"/>
        <v>Bread</v>
      </c>
      <c r="D365" s="4" t="str">
        <f t="shared" ca="1" si="42"/>
        <v>Household</v>
      </c>
      <c r="E365" t="str">
        <f t="shared" ca="1" si="43"/>
        <v>Abuja</v>
      </c>
      <c r="F365">
        <f t="shared" ca="1" si="44"/>
        <v>18</v>
      </c>
      <c r="G365">
        <f t="shared" ca="1" si="45"/>
        <v>3400</v>
      </c>
      <c r="H365">
        <f t="shared" ca="1" si="46"/>
        <v>61200</v>
      </c>
    </row>
    <row r="366" spans="1:8">
      <c r="A366" s="2">
        <f t="shared" ca="1" si="40"/>
        <v>45670</v>
      </c>
      <c r="B366" s="3">
        <f t="shared" si="47"/>
        <v>1365</v>
      </c>
      <c r="C366" s="4" t="str">
        <f t="shared" ca="1" si="41"/>
        <v>Sugar</v>
      </c>
      <c r="D366" s="4" t="str">
        <f t="shared" ca="1" si="42"/>
        <v>Food</v>
      </c>
      <c r="E366" t="str">
        <f t="shared" ca="1" si="43"/>
        <v>Abuja</v>
      </c>
      <c r="F366">
        <f t="shared" ca="1" si="44"/>
        <v>6</v>
      </c>
      <c r="G366">
        <f t="shared" ca="1" si="45"/>
        <v>4400</v>
      </c>
      <c r="H366">
        <f t="shared" ca="1" si="46"/>
        <v>26400</v>
      </c>
    </row>
    <row r="367" spans="1:8">
      <c r="A367" s="2">
        <f t="shared" ca="1" si="40"/>
        <v>45679</v>
      </c>
      <c r="B367" s="3">
        <f t="shared" si="47"/>
        <v>1366</v>
      </c>
      <c r="C367" s="4" t="str">
        <f t="shared" ca="1" si="41"/>
        <v>Rice</v>
      </c>
      <c r="D367" s="4" t="str">
        <f t="shared" ca="1" si="42"/>
        <v>Beverage</v>
      </c>
      <c r="E367" t="str">
        <f t="shared" ca="1" si="43"/>
        <v>Port Harcourt</v>
      </c>
      <c r="F367">
        <f t="shared" ca="1" si="44"/>
        <v>7</v>
      </c>
      <c r="G367">
        <f t="shared" ca="1" si="45"/>
        <v>1100</v>
      </c>
      <c r="H367">
        <f t="shared" ca="1" si="46"/>
        <v>7700</v>
      </c>
    </row>
    <row r="368" spans="1:8">
      <c r="A368" s="2">
        <f t="shared" ca="1" si="40"/>
        <v>45659</v>
      </c>
      <c r="B368" s="3">
        <f t="shared" si="47"/>
        <v>1367</v>
      </c>
      <c r="C368" s="4" t="str">
        <f t="shared" ca="1" si="41"/>
        <v>Sugar</v>
      </c>
      <c r="D368" s="4" t="str">
        <f t="shared" ca="1" si="42"/>
        <v>Household</v>
      </c>
      <c r="E368" t="str">
        <f t="shared" ca="1" si="43"/>
        <v>Kano</v>
      </c>
      <c r="F368">
        <f t="shared" ca="1" si="44"/>
        <v>20</v>
      </c>
      <c r="G368">
        <f t="shared" ca="1" si="45"/>
        <v>1400</v>
      </c>
      <c r="H368">
        <f t="shared" ca="1" si="46"/>
        <v>28000</v>
      </c>
    </row>
    <row r="369" spans="1:8">
      <c r="A369" s="2">
        <f t="shared" ca="1" si="40"/>
        <v>45669</v>
      </c>
      <c r="B369" s="3">
        <f t="shared" si="47"/>
        <v>1368</v>
      </c>
      <c r="C369" s="4" t="str">
        <f t="shared" ca="1" si="41"/>
        <v>Noodles</v>
      </c>
      <c r="D369" s="4" t="str">
        <f t="shared" ca="1" si="42"/>
        <v>Food</v>
      </c>
      <c r="E369" t="str">
        <f t="shared" ca="1" si="43"/>
        <v>Abuja</v>
      </c>
      <c r="F369">
        <f t="shared" ca="1" si="44"/>
        <v>15</v>
      </c>
      <c r="G369">
        <f t="shared" ca="1" si="45"/>
        <v>1900</v>
      </c>
      <c r="H369">
        <f t="shared" ca="1" si="46"/>
        <v>28500</v>
      </c>
    </row>
    <row r="370" spans="1:8">
      <c r="A370" s="2">
        <f t="shared" ca="1" si="40"/>
        <v>45670</v>
      </c>
      <c r="B370" s="3">
        <f t="shared" si="47"/>
        <v>1369</v>
      </c>
      <c r="C370" s="4" t="str">
        <f t="shared" ca="1" si="41"/>
        <v>Bread</v>
      </c>
      <c r="D370" s="4" t="str">
        <f t="shared" ca="1" si="42"/>
        <v>Household</v>
      </c>
      <c r="E370" t="str">
        <f t="shared" ca="1" si="43"/>
        <v>Ibadan</v>
      </c>
      <c r="F370">
        <f t="shared" ca="1" si="44"/>
        <v>15</v>
      </c>
      <c r="G370">
        <f t="shared" ca="1" si="45"/>
        <v>4900</v>
      </c>
      <c r="H370">
        <f t="shared" ca="1" si="46"/>
        <v>73500</v>
      </c>
    </row>
    <row r="371" spans="1:8">
      <c r="A371" s="2">
        <f t="shared" ca="1" si="40"/>
        <v>45670</v>
      </c>
      <c r="B371" s="3">
        <f t="shared" si="47"/>
        <v>1370</v>
      </c>
      <c r="C371" s="4" t="str">
        <f t="shared" ca="1" si="41"/>
        <v>Milk</v>
      </c>
      <c r="D371" s="4" t="str">
        <f t="shared" ca="1" si="42"/>
        <v>Food</v>
      </c>
      <c r="E371" t="str">
        <f t="shared" ca="1" si="43"/>
        <v>Port Harcourt</v>
      </c>
      <c r="F371">
        <f t="shared" ca="1" si="44"/>
        <v>16</v>
      </c>
      <c r="G371">
        <f t="shared" ca="1" si="45"/>
        <v>6700</v>
      </c>
      <c r="H371">
        <f t="shared" ca="1" si="46"/>
        <v>107200</v>
      </c>
    </row>
    <row r="372" spans="1:8">
      <c r="A372" s="2">
        <f t="shared" ca="1" si="40"/>
        <v>45683</v>
      </c>
      <c r="B372" s="3">
        <f t="shared" si="47"/>
        <v>1371</v>
      </c>
      <c r="C372" s="4" t="str">
        <f t="shared" ca="1" si="41"/>
        <v>Soft Drink</v>
      </c>
      <c r="D372" s="4" t="str">
        <f t="shared" ca="1" si="42"/>
        <v>Household</v>
      </c>
      <c r="E372" t="str">
        <f t="shared" ca="1" si="43"/>
        <v>Abuja</v>
      </c>
      <c r="F372">
        <f t="shared" ca="1" si="44"/>
        <v>15</v>
      </c>
      <c r="G372">
        <f t="shared" ca="1" si="45"/>
        <v>6900</v>
      </c>
      <c r="H372">
        <f t="shared" ca="1" si="46"/>
        <v>103500</v>
      </c>
    </row>
    <row r="373" spans="1:8">
      <c r="A373" s="2">
        <f t="shared" ca="1" si="40"/>
        <v>45679</v>
      </c>
      <c r="B373" s="3">
        <f t="shared" si="47"/>
        <v>1372</v>
      </c>
      <c r="C373" s="4" t="str">
        <f t="shared" ca="1" si="41"/>
        <v>Sugar</v>
      </c>
      <c r="D373" s="4" t="str">
        <f t="shared" ca="1" si="42"/>
        <v>Household</v>
      </c>
      <c r="E373" t="str">
        <f t="shared" ca="1" si="43"/>
        <v>Lagos</v>
      </c>
      <c r="F373">
        <f t="shared" ca="1" si="44"/>
        <v>6</v>
      </c>
      <c r="G373">
        <f t="shared" ca="1" si="45"/>
        <v>2100</v>
      </c>
      <c r="H373">
        <f t="shared" ca="1" si="46"/>
        <v>12600</v>
      </c>
    </row>
    <row r="374" spans="1:8">
      <c r="A374" s="2">
        <f t="shared" ca="1" si="40"/>
        <v>45684</v>
      </c>
      <c r="B374" s="3">
        <f t="shared" si="47"/>
        <v>1373</v>
      </c>
      <c r="C374" s="4" t="str">
        <f t="shared" ca="1" si="41"/>
        <v>Rice</v>
      </c>
      <c r="D374" s="4" t="str">
        <f t="shared" ca="1" si="42"/>
        <v>Beverage</v>
      </c>
      <c r="E374" t="str">
        <f t="shared" ca="1" si="43"/>
        <v>Abuja</v>
      </c>
      <c r="F374">
        <f t="shared" ca="1" si="44"/>
        <v>3</v>
      </c>
      <c r="G374">
        <f t="shared" ca="1" si="45"/>
        <v>3500</v>
      </c>
      <c r="H374">
        <f t="shared" ca="1" si="46"/>
        <v>10500</v>
      </c>
    </row>
    <row r="375" spans="1:8">
      <c r="A375" s="2">
        <f t="shared" ca="1" si="40"/>
        <v>45668</v>
      </c>
      <c r="B375" s="3">
        <f t="shared" si="47"/>
        <v>1374</v>
      </c>
      <c r="C375" s="4" t="str">
        <f t="shared" ca="1" si="41"/>
        <v>Soft Drink</v>
      </c>
      <c r="D375" s="4" t="str">
        <f t="shared" ca="1" si="42"/>
        <v>Food</v>
      </c>
      <c r="E375" t="str">
        <f t="shared" ca="1" si="43"/>
        <v>Abuja</v>
      </c>
      <c r="F375">
        <f t="shared" ca="1" si="44"/>
        <v>6</v>
      </c>
      <c r="G375">
        <f t="shared" ca="1" si="45"/>
        <v>1100</v>
      </c>
      <c r="H375">
        <f t="shared" ca="1" si="46"/>
        <v>6600</v>
      </c>
    </row>
    <row r="376" spans="1:8">
      <c r="A376" s="2">
        <f t="shared" ca="1" si="40"/>
        <v>45661</v>
      </c>
      <c r="B376" s="3">
        <f t="shared" si="47"/>
        <v>1375</v>
      </c>
      <c r="C376" s="4" t="str">
        <f t="shared" ca="1" si="41"/>
        <v>Milk</v>
      </c>
      <c r="D376" s="4" t="str">
        <f t="shared" ca="1" si="42"/>
        <v>Food</v>
      </c>
      <c r="E376" t="str">
        <f t="shared" ca="1" si="43"/>
        <v>Ibadan</v>
      </c>
      <c r="F376">
        <f t="shared" ca="1" si="44"/>
        <v>14</v>
      </c>
      <c r="G376">
        <f t="shared" ca="1" si="45"/>
        <v>3700</v>
      </c>
      <c r="H376">
        <f t="shared" ca="1" si="46"/>
        <v>51800</v>
      </c>
    </row>
    <row r="377" spans="1:8">
      <c r="A377" s="2">
        <f t="shared" ca="1" si="40"/>
        <v>45662</v>
      </c>
      <c r="B377" s="3">
        <f t="shared" si="47"/>
        <v>1376</v>
      </c>
      <c r="C377" s="4" t="str">
        <f t="shared" ca="1" si="41"/>
        <v>Sugar</v>
      </c>
      <c r="D377" s="4" t="str">
        <f t="shared" ca="1" si="42"/>
        <v>Food</v>
      </c>
      <c r="E377" t="str">
        <f t="shared" ca="1" si="43"/>
        <v>Kano</v>
      </c>
      <c r="F377">
        <f t="shared" ca="1" si="44"/>
        <v>12</v>
      </c>
      <c r="G377">
        <f t="shared" ca="1" si="45"/>
        <v>900</v>
      </c>
      <c r="H377">
        <f t="shared" ca="1" si="46"/>
        <v>10800</v>
      </c>
    </row>
    <row r="378" spans="1:8">
      <c r="A378" s="2">
        <f t="shared" ca="1" si="40"/>
        <v>45661</v>
      </c>
      <c r="B378" s="3">
        <f t="shared" si="47"/>
        <v>1377</v>
      </c>
      <c r="C378" s="4" t="str">
        <f t="shared" ca="1" si="41"/>
        <v>Sugar</v>
      </c>
      <c r="D378" s="4" t="str">
        <f t="shared" ca="1" si="42"/>
        <v>Beverage</v>
      </c>
      <c r="E378" t="str">
        <f t="shared" ca="1" si="43"/>
        <v>Abuja</v>
      </c>
      <c r="F378">
        <f t="shared" ca="1" si="44"/>
        <v>4</v>
      </c>
      <c r="G378">
        <f t="shared" ca="1" si="45"/>
        <v>3300</v>
      </c>
      <c r="H378">
        <f t="shared" ca="1" si="46"/>
        <v>13200</v>
      </c>
    </row>
    <row r="379" spans="1:8">
      <c r="A379" s="2">
        <f t="shared" ca="1" si="40"/>
        <v>45668</v>
      </c>
      <c r="B379" s="3">
        <f t="shared" si="47"/>
        <v>1378</v>
      </c>
      <c r="C379" s="4" t="str">
        <f t="shared" ca="1" si="41"/>
        <v>Cooking Oil</v>
      </c>
      <c r="D379" s="4" t="str">
        <f t="shared" ca="1" si="42"/>
        <v>Household</v>
      </c>
      <c r="E379" t="str">
        <f t="shared" ca="1" si="43"/>
        <v>Port Harcourt</v>
      </c>
      <c r="F379">
        <f t="shared" ca="1" si="44"/>
        <v>19</v>
      </c>
      <c r="G379">
        <f t="shared" ca="1" si="45"/>
        <v>1400</v>
      </c>
      <c r="H379">
        <f t="shared" ca="1" si="46"/>
        <v>26600</v>
      </c>
    </row>
    <row r="380" spans="1:8">
      <c r="A380" s="2">
        <f t="shared" ca="1" si="40"/>
        <v>45672</v>
      </c>
      <c r="B380" s="3">
        <f t="shared" si="47"/>
        <v>1379</v>
      </c>
      <c r="C380" s="4" t="str">
        <f t="shared" ca="1" si="41"/>
        <v>Beans</v>
      </c>
      <c r="D380" s="4" t="str">
        <f t="shared" ca="1" si="42"/>
        <v>Beverage</v>
      </c>
      <c r="E380" t="str">
        <f t="shared" ca="1" si="43"/>
        <v>Port Harcourt</v>
      </c>
      <c r="F380">
        <f t="shared" ca="1" si="44"/>
        <v>7</v>
      </c>
      <c r="G380">
        <f t="shared" ca="1" si="45"/>
        <v>2100</v>
      </c>
      <c r="H380">
        <f t="shared" ca="1" si="46"/>
        <v>14700</v>
      </c>
    </row>
    <row r="381" spans="1:8">
      <c r="A381" s="2">
        <f t="shared" ca="1" si="40"/>
        <v>45666</v>
      </c>
      <c r="B381" s="3">
        <f t="shared" si="47"/>
        <v>1380</v>
      </c>
      <c r="C381" s="4" t="str">
        <f t="shared" ca="1" si="41"/>
        <v>Noodles</v>
      </c>
      <c r="D381" s="4" t="str">
        <f t="shared" ca="1" si="42"/>
        <v>Household</v>
      </c>
      <c r="E381" t="str">
        <f t="shared" ca="1" si="43"/>
        <v>Lagos</v>
      </c>
      <c r="F381">
        <f t="shared" ca="1" si="44"/>
        <v>1</v>
      </c>
      <c r="G381">
        <f t="shared" ca="1" si="45"/>
        <v>3200</v>
      </c>
      <c r="H381">
        <f t="shared" ca="1" si="46"/>
        <v>3200</v>
      </c>
    </row>
    <row r="382" spans="1:8">
      <c r="A382" s="2">
        <f t="shared" ca="1" si="40"/>
        <v>45685</v>
      </c>
      <c r="B382" s="3">
        <f t="shared" si="47"/>
        <v>1381</v>
      </c>
      <c r="C382" s="4" t="str">
        <f t="shared" ca="1" si="41"/>
        <v>Milk</v>
      </c>
      <c r="D382" s="4" t="str">
        <f t="shared" ca="1" si="42"/>
        <v>Household</v>
      </c>
      <c r="E382" t="str">
        <f t="shared" ca="1" si="43"/>
        <v>Ibadan</v>
      </c>
      <c r="F382">
        <f t="shared" ca="1" si="44"/>
        <v>5</v>
      </c>
      <c r="G382">
        <f t="shared" ca="1" si="45"/>
        <v>2700</v>
      </c>
      <c r="H382">
        <f t="shared" ca="1" si="46"/>
        <v>13500</v>
      </c>
    </row>
    <row r="383" spans="1:8">
      <c r="A383" s="2">
        <f t="shared" ca="1" si="40"/>
        <v>45663</v>
      </c>
      <c r="B383" s="3">
        <f t="shared" si="47"/>
        <v>1382</v>
      </c>
      <c r="C383" s="4" t="str">
        <f t="shared" ca="1" si="41"/>
        <v>Milk</v>
      </c>
      <c r="D383" s="4" t="str">
        <f t="shared" ca="1" si="42"/>
        <v>Household</v>
      </c>
      <c r="E383" t="str">
        <f t="shared" ca="1" si="43"/>
        <v>Abuja</v>
      </c>
      <c r="F383">
        <f t="shared" ca="1" si="44"/>
        <v>18</v>
      </c>
      <c r="G383">
        <f t="shared" ca="1" si="45"/>
        <v>3400</v>
      </c>
      <c r="H383">
        <f t="shared" ca="1" si="46"/>
        <v>61200</v>
      </c>
    </row>
    <row r="384" spans="1:8">
      <c r="A384" s="2">
        <f t="shared" ca="1" si="40"/>
        <v>45681</v>
      </c>
      <c r="B384" s="3">
        <f t="shared" si="47"/>
        <v>1383</v>
      </c>
      <c r="C384" s="4" t="str">
        <f t="shared" ca="1" si="41"/>
        <v>Rice</v>
      </c>
      <c r="D384" s="4" t="str">
        <f t="shared" ca="1" si="42"/>
        <v>Food</v>
      </c>
      <c r="E384" t="str">
        <f t="shared" ca="1" si="43"/>
        <v>Kano</v>
      </c>
      <c r="F384">
        <f t="shared" ca="1" si="44"/>
        <v>11</v>
      </c>
      <c r="G384">
        <f t="shared" ca="1" si="45"/>
        <v>4600</v>
      </c>
      <c r="H384">
        <f t="shared" ca="1" si="46"/>
        <v>50600</v>
      </c>
    </row>
    <row r="385" spans="1:8">
      <c r="A385" s="2">
        <f t="shared" ca="1" si="40"/>
        <v>45681</v>
      </c>
      <c r="B385" s="3">
        <f t="shared" si="47"/>
        <v>1384</v>
      </c>
      <c r="C385" s="4" t="str">
        <f t="shared" ca="1" si="41"/>
        <v>Sugar</v>
      </c>
      <c r="D385" s="4" t="str">
        <f t="shared" ca="1" si="42"/>
        <v>Household</v>
      </c>
      <c r="E385" t="str">
        <f t="shared" ca="1" si="43"/>
        <v>Abuja</v>
      </c>
      <c r="F385">
        <f t="shared" ca="1" si="44"/>
        <v>12</v>
      </c>
      <c r="G385">
        <f t="shared" ca="1" si="45"/>
        <v>5000</v>
      </c>
      <c r="H385">
        <f t="shared" ca="1" si="46"/>
        <v>60000</v>
      </c>
    </row>
    <row r="386" spans="1:8">
      <c r="A386" s="2">
        <f t="shared" ca="1" si="40"/>
        <v>45664</v>
      </c>
      <c r="B386" s="3">
        <f t="shared" si="47"/>
        <v>1385</v>
      </c>
      <c r="C386" s="4" t="str">
        <f t="shared" ca="1" si="41"/>
        <v>Soft Drink</v>
      </c>
      <c r="D386" s="4" t="str">
        <f t="shared" ca="1" si="42"/>
        <v>Food</v>
      </c>
      <c r="E386" t="str">
        <f t="shared" ca="1" si="43"/>
        <v>Abuja</v>
      </c>
      <c r="F386">
        <f t="shared" ca="1" si="44"/>
        <v>1</v>
      </c>
      <c r="G386">
        <f t="shared" ca="1" si="45"/>
        <v>3400</v>
      </c>
      <c r="H386">
        <f t="shared" ca="1" si="46"/>
        <v>3400</v>
      </c>
    </row>
    <row r="387" spans="1:8">
      <c r="A387" s="2">
        <f t="shared" ref="A387:A450" ca="1" si="48">DATE(2025,1,RANDBETWEEN(1,28))</f>
        <v>45665</v>
      </c>
      <c r="B387" s="3">
        <f t="shared" si="47"/>
        <v>1386</v>
      </c>
      <c r="C387" s="4" t="str">
        <f t="shared" ref="C387:C450" ca="1" si="49">CHOOSE(RANDBETWEEN(1,8),"Rice","Beans","Cooking Oil","Milk","Bread","Sugar","Noodles","Soft Drink")</f>
        <v>Rice</v>
      </c>
      <c r="D387" s="4" t="str">
        <f t="shared" ref="D387:D450" ca="1" si="50">CHOOSE(RANDBETWEEN(1,3),"Food","Beverage","Household")</f>
        <v>Food</v>
      </c>
      <c r="E387" t="str">
        <f t="shared" ref="E387:E450" ca="1" si="51">CHOOSE(RANDBETWEEN(1,5),"Lagos","Abuja","Port Harcourt","Ibadan","Kano")</f>
        <v>Abuja</v>
      </c>
      <c r="F387">
        <f t="shared" ref="F387:F450" ca="1" si="52">RANDBETWEEN(1,20)</f>
        <v>7</v>
      </c>
      <c r="G387">
        <f t="shared" ref="G387:G450" ca="1" si="53">ROUND(RANDBETWEEN(500,7000)/100,0)*100</f>
        <v>3600</v>
      </c>
      <c r="H387">
        <f t="shared" ref="H387:H450" ca="1" si="54">F387*G387</f>
        <v>25200</v>
      </c>
    </row>
    <row r="388" spans="1:8">
      <c r="A388" s="2">
        <f t="shared" ca="1" si="48"/>
        <v>45682</v>
      </c>
      <c r="B388" s="3">
        <f t="shared" ref="B388:B451" si="55">B387+1</f>
        <v>1387</v>
      </c>
      <c r="C388" s="4" t="str">
        <f t="shared" ca="1" si="49"/>
        <v>Cooking Oil</v>
      </c>
      <c r="D388" s="4" t="str">
        <f t="shared" ca="1" si="50"/>
        <v>Household</v>
      </c>
      <c r="E388" t="str">
        <f t="shared" ca="1" si="51"/>
        <v>Abuja</v>
      </c>
      <c r="F388">
        <f t="shared" ca="1" si="52"/>
        <v>16</v>
      </c>
      <c r="G388">
        <f t="shared" ca="1" si="53"/>
        <v>1000</v>
      </c>
      <c r="H388">
        <f t="shared" ca="1" si="54"/>
        <v>16000</v>
      </c>
    </row>
    <row r="389" spans="1:8">
      <c r="A389" s="2">
        <f t="shared" ca="1" si="48"/>
        <v>45675</v>
      </c>
      <c r="B389" s="3">
        <f t="shared" si="55"/>
        <v>1388</v>
      </c>
      <c r="C389" s="4" t="str">
        <f t="shared" ca="1" si="49"/>
        <v>Rice</v>
      </c>
      <c r="D389" s="4" t="str">
        <f t="shared" ca="1" si="50"/>
        <v>Food</v>
      </c>
      <c r="E389" t="str">
        <f t="shared" ca="1" si="51"/>
        <v>Abuja</v>
      </c>
      <c r="F389">
        <f t="shared" ca="1" si="52"/>
        <v>11</v>
      </c>
      <c r="G389">
        <f t="shared" ca="1" si="53"/>
        <v>4400</v>
      </c>
      <c r="H389">
        <f t="shared" ca="1" si="54"/>
        <v>48400</v>
      </c>
    </row>
    <row r="390" spans="1:8">
      <c r="A390" s="2">
        <f t="shared" ca="1" si="48"/>
        <v>45677</v>
      </c>
      <c r="B390" s="3">
        <f t="shared" si="55"/>
        <v>1389</v>
      </c>
      <c r="C390" s="4" t="str">
        <f t="shared" ca="1" si="49"/>
        <v>Soft Drink</v>
      </c>
      <c r="D390" s="4" t="str">
        <f t="shared" ca="1" si="50"/>
        <v>Household</v>
      </c>
      <c r="E390" t="str">
        <f t="shared" ca="1" si="51"/>
        <v>Port Harcourt</v>
      </c>
      <c r="F390">
        <f t="shared" ca="1" si="52"/>
        <v>18</v>
      </c>
      <c r="G390">
        <f t="shared" ca="1" si="53"/>
        <v>2900</v>
      </c>
      <c r="H390">
        <f t="shared" ca="1" si="54"/>
        <v>52200</v>
      </c>
    </row>
    <row r="391" spans="1:8">
      <c r="A391" s="2">
        <f t="shared" ca="1" si="48"/>
        <v>45683</v>
      </c>
      <c r="B391" s="3">
        <f t="shared" si="55"/>
        <v>1390</v>
      </c>
      <c r="C391" s="4" t="str">
        <f t="shared" ca="1" si="49"/>
        <v>Soft Drink</v>
      </c>
      <c r="D391" s="4" t="str">
        <f t="shared" ca="1" si="50"/>
        <v>Household</v>
      </c>
      <c r="E391" t="str">
        <f t="shared" ca="1" si="51"/>
        <v>Lagos</v>
      </c>
      <c r="F391">
        <f t="shared" ca="1" si="52"/>
        <v>14</v>
      </c>
      <c r="G391">
        <f t="shared" ca="1" si="53"/>
        <v>600</v>
      </c>
      <c r="H391">
        <f t="shared" ca="1" si="54"/>
        <v>8400</v>
      </c>
    </row>
    <row r="392" spans="1:8">
      <c r="A392" s="2">
        <f t="shared" ca="1" si="48"/>
        <v>45661</v>
      </c>
      <c r="B392" s="3">
        <f t="shared" si="55"/>
        <v>1391</v>
      </c>
      <c r="C392" s="4" t="str">
        <f t="shared" ca="1" si="49"/>
        <v>Soft Drink</v>
      </c>
      <c r="D392" s="4" t="str">
        <f t="shared" ca="1" si="50"/>
        <v>Household</v>
      </c>
      <c r="E392" t="str">
        <f t="shared" ca="1" si="51"/>
        <v>Lagos</v>
      </c>
      <c r="F392">
        <f t="shared" ca="1" si="52"/>
        <v>13</v>
      </c>
      <c r="G392">
        <f t="shared" ca="1" si="53"/>
        <v>6100</v>
      </c>
      <c r="H392">
        <f t="shared" ca="1" si="54"/>
        <v>79300</v>
      </c>
    </row>
    <row r="393" spans="1:8">
      <c r="A393" s="2">
        <f t="shared" ca="1" si="48"/>
        <v>45672</v>
      </c>
      <c r="B393" s="3">
        <f t="shared" si="55"/>
        <v>1392</v>
      </c>
      <c r="C393" s="4" t="str">
        <f t="shared" ca="1" si="49"/>
        <v>Beans</v>
      </c>
      <c r="D393" s="4" t="str">
        <f t="shared" ca="1" si="50"/>
        <v>Household</v>
      </c>
      <c r="E393" t="str">
        <f t="shared" ca="1" si="51"/>
        <v>Port Harcourt</v>
      </c>
      <c r="F393">
        <f t="shared" ca="1" si="52"/>
        <v>10</v>
      </c>
      <c r="G393">
        <f t="shared" ca="1" si="53"/>
        <v>6900</v>
      </c>
      <c r="H393">
        <f t="shared" ca="1" si="54"/>
        <v>69000</v>
      </c>
    </row>
    <row r="394" spans="1:8">
      <c r="A394" s="2">
        <f t="shared" ca="1" si="48"/>
        <v>45673</v>
      </c>
      <c r="B394" s="3">
        <f t="shared" si="55"/>
        <v>1393</v>
      </c>
      <c r="C394" s="4" t="str">
        <f t="shared" ca="1" si="49"/>
        <v>Bread</v>
      </c>
      <c r="D394" s="4" t="str">
        <f t="shared" ca="1" si="50"/>
        <v>Beverage</v>
      </c>
      <c r="E394" t="str">
        <f t="shared" ca="1" si="51"/>
        <v>Ibadan</v>
      </c>
      <c r="F394">
        <f t="shared" ca="1" si="52"/>
        <v>4</v>
      </c>
      <c r="G394">
        <f t="shared" ca="1" si="53"/>
        <v>1800</v>
      </c>
      <c r="H394">
        <f t="shared" ca="1" si="54"/>
        <v>7200</v>
      </c>
    </row>
    <row r="395" spans="1:8">
      <c r="A395" s="2">
        <f t="shared" ca="1" si="48"/>
        <v>45670</v>
      </c>
      <c r="B395" s="3">
        <f t="shared" si="55"/>
        <v>1394</v>
      </c>
      <c r="C395" s="4" t="str">
        <f t="shared" ca="1" si="49"/>
        <v>Soft Drink</v>
      </c>
      <c r="D395" s="4" t="str">
        <f t="shared" ca="1" si="50"/>
        <v>Beverage</v>
      </c>
      <c r="E395" t="str">
        <f t="shared" ca="1" si="51"/>
        <v>Lagos</v>
      </c>
      <c r="F395">
        <f t="shared" ca="1" si="52"/>
        <v>19</v>
      </c>
      <c r="G395">
        <f t="shared" ca="1" si="53"/>
        <v>3100</v>
      </c>
      <c r="H395">
        <f t="shared" ca="1" si="54"/>
        <v>58900</v>
      </c>
    </row>
    <row r="396" spans="1:8">
      <c r="A396" s="2">
        <f t="shared" ca="1" si="48"/>
        <v>45672</v>
      </c>
      <c r="B396" s="3">
        <f t="shared" si="55"/>
        <v>1395</v>
      </c>
      <c r="C396" s="4" t="str">
        <f t="shared" ca="1" si="49"/>
        <v>Bread</v>
      </c>
      <c r="D396" s="4" t="str">
        <f t="shared" ca="1" si="50"/>
        <v>Household</v>
      </c>
      <c r="E396" t="str">
        <f t="shared" ca="1" si="51"/>
        <v>Abuja</v>
      </c>
      <c r="F396">
        <f t="shared" ca="1" si="52"/>
        <v>18</v>
      </c>
      <c r="G396">
        <f t="shared" ca="1" si="53"/>
        <v>4800</v>
      </c>
      <c r="H396">
        <f t="shared" ca="1" si="54"/>
        <v>86400</v>
      </c>
    </row>
    <row r="397" spans="1:8">
      <c r="A397" s="2">
        <f t="shared" ca="1" si="48"/>
        <v>45684</v>
      </c>
      <c r="B397" s="3">
        <f t="shared" si="55"/>
        <v>1396</v>
      </c>
      <c r="C397" s="4" t="str">
        <f t="shared" ca="1" si="49"/>
        <v>Beans</v>
      </c>
      <c r="D397" s="4" t="str">
        <f t="shared" ca="1" si="50"/>
        <v>Household</v>
      </c>
      <c r="E397" t="str">
        <f t="shared" ca="1" si="51"/>
        <v>Kano</v>
      </c>
      <c r="F397">
        <f t="shared" ca="1" si="52"/>
        <v>17</v>
      </c>
      <c r="G397">
        <f t="shared" ca="1" si="53"/>
        <v>6200</v>
      </c>
      <c r="H397">
        <f t="shared" ca="1" si="54"/>
        <v>105400</v>
      </c>
    </row>
    <row r="398" spans="1:8">
      <c r="A398" s="2">
        <f t="shared" ca="1" si="48"/>
        <v>45678</v>
      </c>
      <c r="B398" s="3">
        <f t="shared" si="55"/>
        <v>1397</v>
      </c>
      <c r="C398" s="4" t="str">
        <f t="shared" ca="1" si="49"/>
        <v>Soft Drink</v>
      </c>
      <c r="D398" s="4" t="str">
        <f t="shared" ca="1" si="50"/>
        <v>Food</v>
      </c>
      <c r="E398" t="str">
        <f t="shared" ca="1" si="51"/>
        <v>Lagos</v>
      </c>
      <c r="F398">
        <f t="shared" ca="1" si="52"/>
        <v>9</v>
      </c>
      <c r="G398">
        <f t="shared" ca="1" si="53"/>
        <v>6600</v>
      </c>
      <c r="H398">
        <f t="shared" ca="1" si="54"/>
        <v>59400</v>
      </c>
    </row>
    <row r="399" spans="1:8">
      <c r="A399" s="2">
        <f t="shared" ca="1" si="48"/>
        <v>45672</v>
      </c>
      <c r="B399" s="3">
        <f t="shared" si="55"/>
        <v>1398</v>
      </c>
      <c r="C399" s="4" t="str">
        <f t="shared" ca="1" si="49"/>
        <v>Sugar</v>
      </c>
      <c r="D399" s="4" t="str">
        <f t="shared" ca="1" si="50"/>
        <v>Household</v>
      </c>
      <c r="E399" t="str">
        <f t="shared" ca="1" si="51"/>
        <v>Lagos</v>
      </c>
      <c r="F399">
        <f t="shared" ca="1" si="52"/>
        <v>1</v>
      </c>
      <c r="G399">
        <f t="shared" ca="1" si="53"/>
        <v>900</v>
      </c>
      <c r="H399">
        <f t="shared" ca="1" si="54"/>
        <v>900</v>
      </c>
    </row>
    <row r="400" spans="1:8">
      <c r="A400" s="2">
        <f t="shared" ca="1" si="48"/>
        <v>45678</v>
      </c>
      <c r="B400" s="3">
        <f t="shared" si="55"/>
        <v>1399</v>
      </c>
      <c r="C400" s="4" t="str">
        <f t="shared" ca="1" si="49"/>
        <v>Beans</v>
      </c>
      <c r="D400" s="4" t="str">
        <f t="shared" ca="1" si="50"/>
        <v>Food</v>
      </c>
      <c r="E400" t="str">
        <f t="shared" ca="1" si="51"/>
        <v>Kano</v>
      </c>
      <c r="F400">
        <f t="shared" ca="1" si="52"/>
        <v>2</v>
      </c>
      <c r="G400">
        <f t="shared" ca="1" si="53"/>
        <v>5300</v>
      </c>
      <c r="H400">
        <f t="shared" ca="1" si="54"/>
        <v>10600</v>
      </c>
    </row>
    <row r="401" spans="1:8">
      <c r="A401" s="2">
        <f t="shared" ca="1" si="48"/>
        <v>45658</v>
      </c>
      <c r="B401" s="3">
        <f t="shared" si="55"/>
        <v>1400</v>
      </c>
      <c r="C401" s="4" t="str">
        <f t="shared" ca="1" si="49"/>
        <v>Beans</v>
      </c>
      <c r="D401" s="4" t="str">
        <f t="shared" ca="1" si="50"/>
        <v>Food</v>
      </c>
      <c r="E401" t="str">
        <f t="shared" ca="1" si="51"/>
        <v>Kano</v>
      </c>
      <c r="F401">
        <f t="shared" ca="1" si="52"/>
        <v>8</v>
      </c>
      <c r="G401">
        <f t="shared" ca="1" si="53"/>
        <v>2800</v>
      </c>
      <c r="H401">
        <f t="shared" ca="1" si="54"/>
        <v>22400</v>
      </c>
    </row>
    <row r="402" spans="1:8">
      <c r="A402" s="2">
        <f t="shared" ca="1" si="48"/>
        <v>45668</v>
      </c>
      <c r="B402" s="3">
        <f t="shared" si="55"/>
        <v>1401</v>
      </c>
      <c r="C402" s="4" t="str">
        <f t="shared" ca="1" si="49"/>
        <v>Cooking Oil</v>
      </c>
      <c r="D402" s="4" t="str">
        <f t="shared" ca="1" si="50"/>
        <v>Beverage</v>
      </c>
      <c r="E402" t="str">
        <f t="shared" ca="1" si="51"/>
        <v>Ibadan</v>
      </c>
      <c r="F402">
        <f t="shared" ca="1" si="52"/>
        <v>3</v>
      </c>
      <c r="G402">
        <f t="shared" ca="1" si="53"/>
        <v>4100</v>
      </c>
      <c r="H402">
        <f t="shared" ca="1" si="54"/>
        <v>12300</v>
      </c>
    </row>
    <row r="403" spans="1:8">
      <c r="A403" s="2">
        <f t="shared" ca="1" si="48"/>
        <v>45672</v>
      </c>
      <c r="B403" s="3">
        <f t="shared" si="55"/>
        <v>1402</v>
      </c>
      <c r="C403" s="4" t="str">
        <f t="shared" ca="1" si="49"/>
        <v>Milk</v>
      </c>
      <c r="D403" s="4" t="str">
        <f t="shared" ca="1" si="50"/>
        <v>Beverage</v>
      </c>
      <c r="E403" t="str">
        <f t="shared" ca="1" si="51"/>
        <v>Ibadan</v>
      </c>
      <c r="F403">
        <f t="shared" ca="1" si="52"/>
        <v>3</v>
      </c>
      <c r="G403">
        <f t="shared" ca="1" si="53"/>
        <v>2900</v>
      </c>
      <c r="H403">
        <f t="shared" ca="1" si="54"/>
        <v>8700</v>
      </c>
    </row>
    <row r="404" spans="1:8">
      <c r="A404" s="2">
        <f t="shared" ca="1" si="48"/>
        <v>45675</v>
      </c>
      <c r="B404" s="3">
        <f t="shared" si="55"/>
        <v>1403</v>
      </c>
      <c r="C404" s="4" t="str">
        <f t="shared" ca="1" si="49"/>
        <v>Rice</v>
      </c>
      <c r="D404" s="4" t="str">
        <f t="shared" ca="1" si="50"/>
        <v>Beverage</v>
      </c>
      <c r="E404" t="str">
        <f t="shared" ca="1" si="51"/>
        <v>Abuja</v>
      </c>
      <c r="F404">
        <f t="shared" ca="1" si="52"/>
        <v>9</v>
      </c>
      <c r="G404">
        <f t="shared" ca="1" si="53"/>
        <v>5700</v>
      </c>
      <c r="H404">
        <f t="shared" ca="1" si="54"/>
        <v>51300</v>
      </c>
    </row>
    <row r="405" spans="1:8">
      <c r="A405" s="2">
        <f t="shared" ca="1" si="48"/>
        <v>45660</v>
      </c>
      <c r="B405" s="3">
        <f t="shared" si="55"/>
        <v>1404</v>
      </c>
      <c r="C405" s="4" t="str">
        <f t="shared" ca="1" si="49"/>
        <v>Beans</v>
      </c>
      <c r="D405" s="4" t="str">
        <f t="shared" ca="1" si="50"/>
        <v>Food</v>
      </c>
      <c r="E405" t="str">
        <f t="shared" ca="1" si="51"/>
        <v>Lagos</v>
      </c>
      <c r="F405">
        <f t="shared" ca="1" si="52"/>
        <v>6</v>
      </c>
      <c r="G405">
        <f t="shared" ca="1" si="53"/>
        <v>900</v>
      </c>
      <c r="H405">
        <f t="shared" ca="1" si="54"/>
        <v>5400</v>
      </c>
    </row>
    <row r="406" spans="1:8">
      <c r="A406" s="2">
        <f t="shared" ca="1" si="48"/>
        <v>45662</v>
      </c>
      <c r="B406" s="3">
        <f t="shared" si="55"/>
        <v>1405</v>
      </c>
      <c r="C406" s="4" t="str">
        <f t="shared" ca="1" si="49"/>
        <v>Milk</v>
      </c>
      <c r="D406" s="4" t="str">
        <f t="shared" ca="1" si="50"/>
        <v>Household</v>
      </c>
      <c r="E406" t="str">
        <f t="shared" ca="1" si="51"/>
        <v>Port Harcourt</v>
      </c>
      <c r="F406">
        <f t="shared" ca="1" si="52"/>
        <v>8</v>
      </c>
      <c r="G406">
        <f t="shared" ca="1" si="53"/>
        <v>1100</v>
      </c>
      <c r="H406">
        <f t="shared" ca="1" si="54"/>
        <v>8800</v>
      </c>
    </row>
    <row r="407" spans="1:8">
      <c r="A407" s="2">
        <f t="shared" ca="1" si="48"/>
        <v>45677</v>
      </c>
      <c r="B407" s="3">
        <f t="shared" si="55"/>
        <v>1406</v>
      </c>
      <c r="C407" s="4" t="str">
        <f t="shared" ca="1" si="49"/>
        <v>Soft Drink</v>
      </c>
      <c r="D407" s="4" t="str">
        <f t="shared" ca="1" si="50"/>
        <v>Beverage</v>
      </c>
      <c r="E407" t="str">
        <f t="shared" ca="1" si="51"/>
        <v>Kano</v>
      </c>
      <c r="F407">
        <f t="shared" ca="1" si="52"/>
        <v>19</v>
      </c>
      <c r="G407">
        <f t="shared" ca="1" si="53"/>
        <v>2100</v>
      </c>
      <c r="H407">
        <f t="shared" ca="1" si="54"/>
        <v>39900</v>
      </c>
    </row>
    <row r="408" spans="1:8">
      <c r="A408" s="2">
        <f t="shared" ca="1" si="48"/>
        <v>45674</v>
      </c>
      <c r="B408" s="3">
        <f t="shared" si="55"/>
        <v>1407</v>
      </c>
      <c r="C408" s="4" t="str">
        <f t="shared" ca="1" si="49"/>
        <v>Beans</v>
      </c>
      <c r="D408" s="4" t="str">
        <f t="shared" ca="1" si="50"/>
        <v>Household</v>
      </c>
      <c r="E408" t="str">
        <f t="shared" ca="1" si="51"/>
        <v>Kano</v>
      </c>
      <c r="F408">
        <f t="shared" ca="1" si="52"/>
        <v>1</v>
      </c>
      <c r="G408">
        <f t="shared" ca="1" si="53"/>
        <v>2200</v>
      </c>
      <c r="H408">
        <f t="shared" ca="1" si="54"/>
        <v>2200</v>
      </c>
    </row>
    <row r="409" spans="1:8">
      <c r="A409" s="2">
        <f t="shared" ca="1" si="48"/>
        <v>45667</v>
      </c>
      <c r="B409" s="3">
        <f t="shared" si="55"/>
        <v>1408</v>
      </c>
      <c r="C409" s="4" t="str">
        <f t="shared" ca="1" si="49"/>
        <v>Noodles</v>
      </c>
      <c r="D409" s="4" t="str">
        <f t="shared" ca="1" si="50"/>
        <v>Beverage</v>
      </c>
      <c r="E409" t="str">
        <f t="shared" ca="1" si="51"/>
        <v>Ibadan</v>
      </c>
      <c r="F409">
        <f t="shared" ca="1" si="52"/>
        <v>7</v>
      </c>
      <c r="G409">
        <f t="shared" ca="1" si="53"/>
        <v>5900</v>
      </c>
      <c r="H409">
        <f t="shared" ca="1" si="54"/>
        <v>41300</v>
      </c>
    </row>
    <row r="410" spans="1:8">
      <c r="A410" s="2">
        <f t="shared" ca="1" si="48"/>
        <v>45663</v>
      </c>
      <c r="B410" s="3">
        <f t="shared" si="55"/>
        <v>1409</v>
      </c>
      <c r="C410" s="4" t="str">
        <f t="shared" ca="1" si="49"/>
        <v>Rice</v>
      </c>
      <c r="D410" s="4" t="str">
        <f t="shared" ca="1" si="50"/>
        <v>Food</v>
      </c>
      <c r="E410" t="str">
        <f t="shared" ca="1" si="51"/>
        <v>Ibadan</v>
      </c>
      <c r="F410">
        <f t="shared" ca="1" si="52"/>
        <v>9</v>
      </c>
      <c r="G410">
        <f t="shared" ca="1" si="53"/>
        <v>4200</v>
      </c>
      <c r="H410">
        <f t="shared" ca="1" si="54"/>
        <v>37800</v>
      </c>
    </row>
    <row r="411" spans="1:8">
      <c r="A411" s="2">
        <f t="shared" ca="1" si="48"/>
        <v>45669</v>
      </c>
      <c r="B411" s="3">
        <f t="shared" si="55"/>
        <v>1410</v>
      </c>
      <c r="C411" s="4" t="str">
        <f t="shared" ca="1" si="49"/>
        <v>Beans</v>
      </c>
      <c r="D411" s="4" t="str">
        <f t="shared" ca="1" si="50"/>
        <v>Household</v>
      </c>
      <c r="E411" t="str">
        <f t="shared" ca="1" si="51"/>
        <v>Port Harcourt</v>
      </c>
      <c r="F411">
        <f t="shared" ca="1" si="52"/>
        <v>17</v>
      </c>
      <c r="G411">
        <f t="shared" ca="1" si="53"/>
        <v>1200</v>
      </c>
      <c r="H411">
        <f t="shared" ca="1" si="54"/>
        <v>20400</v>
      </c>
    </row>
    <row r="412" spans="1:8">
      <c r="A412" s="2">
        <f t="shared" ca="1" si="48"/>
        <v>45667</v>
      </c>
      <c r="B412" s="3">
        <f t="shared" si="55"/>
        <v>1411</v>
      </c>
      <c r="C412" s="4" t="str">
        <f t="shared" ca="1" si="49"/>
        <v>Bread</v>
      </c>
      <c r="D412" s="4" t="str">
        <f t="shared" ca="1" si="50"/>
        <v>Food</v>
      </c>
      <c r="E412" t="str">
        <f t="shared" ca="1" si="51"/>
        <v>Lagos</v>
      </c>
      <c r="F412">
        <f t="shared" ca="1" si="52"/>
        <v>16</v>
      </c>
      <c r="G412">
        <f t="shared" ca="1" si="53"/>
        <v>800</v>
      </c>
      <c r="H412">
        <f t="shared" ca="1" si="54"/>
        <v>12800</v>
      </c>
    </row>
    <row r="413" spans="1:8">
      <c r="A413" s="2">
        <f t="shared" ca="1" si="48"/>
        <v>45662</v>
      </c>
      <c r="B413" s="3">
        <f t="shared" si="55"/>
        <v>1412</v>
      </c>
      <c r="C413" s="4" t="str">
        <f t="shared" ca="1" si="49"/>
        <v>Noodles</v>
      </c>
      <c r="D413" s="4" t="str">
        <f t="shared" ca="1" si="50"/>
        <v>Beverage</v>
      </c>
      <c r="E413" t="str">
        <f t="shared" ca="1" si="51"/>
        <v>Port Harcourt</v>
      </c>
      <c r="F413">
        <f t="shared" ca="1" si="52"/>
        <v>2</v>
      </c>
      <c r="G413">
        <f t="shared" ca="1" si="53"/>
        <v>3400</v>
      </c>
      <c r="H413">
        <f t="shared" ca="1" si="54"/>
        <v>6800</v>
      </c>
    </row>
    <row r="414" spans="1:8">
      <c r="A414" s="2">
        <f t="shared" ca="1" si="48"/>
        <v>45672</v>
      </c>
      <c r="B414" s="3">
        <f t="shared" si="55"/>
        <v>1413</v>
      </c>
      <c r="C414" s="4" t="str">
        <f t="shared" ca="1" si="49"/>
        <v>Noodles</v>
      </c>
      <c r="D414" s="4" t="str">
        <f t="shared" ca="1" si="50"/>
        <v>Food</v>
      </c>
      <c r="E414" t="str">
        <f t="shared" ca="1" si="51"/>
        <v>Abuja</v>
      </c>
      <c r="F414">
        <f t="shared" ca="1" si="52"/>
        <v>1</v>
      </c>
      <c r="G414">
        <f t="shared" ca="1" si="53"/>
        <v>6500</v>
      </c>
      <c r="H414">
        <f t="shared" ca="1" si="54"/>
        <v>6500</v>
      </c>
    </row>
    <row r="415" spans="1:8">
      <c r="A415" s="2">
        <f t="shared" ca="1" si="48"/>
        <v>45681</v>
      </c>
      <c r="B415" s="3">
        <f t="shared" si="55"/>
        <v>1414</v>
      </c>
      <c r="C415" s="4" t="str">
        <f t="shared" ca="1" si="49"/>
        <v>Cooking Oil</v>
      </c>
      <c r="D415" s="4" t="str">
        <f t="shared" ca="1" si="50"/>
        <v>Food</v>
      </c>
      <c r="E415" t="str">
        <f t="shared" ca="1" si="51"/>
        <v>Port Harcourt</v>
      </c>
      <c r="F415">
        <f t="shared" ca="1" si="52"/>
        <v>18</v>
      </c>
      <c r="G415">
        <f t="shared" ca="1" si="53"/>
        <v>6300</v>
      </c>
      <c r="H415">
        <f t="shared" ca="1" si="54"/>
        <v>113400</v>
      </c>
    </row>
    <row r="416" spans="1:8">
      <c r="A416" s="2">
        <f t="shared" ca="1" si="48"/>
        <v>45675</v>
      </c>
      <c r="B416" s="3">
        <f t="shared" si="55"/>
        <v>1415</v>
      </c>
      <c r="C416" s="4" t="str">
        <f t="shared" ca="1" si="49"/>
        <v>Noodles</v>
      </c>
      <c r="D416" s="4" t="str">
        <f t="shared" ca="1" si="50"/>
        <v>Beverage</v>
      </c>
      <c r="E416" t="str">
        <f t="shared" ca="1" si="51"/>
        <v>Kano</v>
      </c>
      <c r="F416">
        <f t="shared" ca="1" si="52"/>
        <v>9</v>
      </c>
      <c r="G416">
        <f t="shared" ca="1" si="53"/>
        <v>4700</v>
      </c>
      <c r="H416">
        <f t="shared" ca="1" si="54"/>
        <v>42300</v>
      </c>
    </row>
    <row r="417" spans="1:8">
      <c r="A417" s="2">
        <f t="shared" ca="1" si="48"/>
        <v>45668</v>
      </c>
      <c r="B417" s="3">
        <f t="shared" si="55"/>
        <v>1416</v>
      </c>
      <c r="C417" s="4" t="str">
        <f t="shared" ca="1" si="49"/>
        <v>Milk</v>
      </c>
      <c r="D417" s="4" t="str">
        <f t="shared" ca="1" si="50"/>
        <v>Food</v>
      </c>
      <c r="E417" t="str">
        <f t="shared" ca="1" si="51"/>
        <v>Lagos</v>
      </c>
      <c r="F417">
        <f t="shared" ca="1" si="52"/>
        <v>4</v>
      </c>
      <c r="G417">
        <f t="shared" ca="1" si="53"/>
        <v>4300</v>
      </c>
      <c r="H417">
        <f t="shared" ca="1" si="54"/>
        <v>17200</v>
      </c>
    </row>
    <row r="418" spans="1:8">
      <c r="A418" s="2">
        <f t="shared" ca="1" si="48"/>
        <v>45676</v>
      </c>
      <c r="B418" s="3">
        <f t="shared" si="55"/>
        <v>1417</v>
      </c>
      <c r="C418" s="4" t="str">
        <f t="shared" ca="1" si="49"/>
        <v>Bread</v>
      </c>
      <c r="D418" s="4" t="str">
        <f t="shared" ca="1" si="50"/>
        <v>Beverage</v>
      </c>
      <c r="E418" t="str">
        <f t="shared" ca="1" si="51"/>
        <v>Ibadan</v>
      </c>
      <c r="F418">
        <f t="shared" ca="1" si="52"/>
        <v>9</v>
      </c>
      <c r="G418">
        <f t="shared" ca="1" si="53"/>
        <v>5500</v>
      </c>
      <c r="H418">
        <f t="shared" ca="1" si="54"/>
        <v>49500</v>
      </c>
    </row>
    <row r="419" spans="1:8">
      <c r="A419" s="2">
        <f t="shared" ca="1" si="48"/>
        <v>45679</v>
      </c>
      <c r="B419" s="3">
        <f t="shared" si="55"/>
        <v>1418</v>
      </c>
      <c r="C419" s="4" t="str">
        <f t="shared" ca="1" si="49"/>
        <v>Bread</v>
      </c>
      <c r="D419" s="4" t="str">
        <f t="shared" ca="1" si="50"/>
        <v>Beverage</v>
      </c>
      <c r="E419" t="str">
        <f t="shared" ca="1" si="51"/>
        <v>Port Harcourt</v>
      </c>
      <c r="F419">
        <f t="shared" ca="1" si="52"/>
        <v>3</v>
      </c>
      <c r="G419">
        <f t="shared" ca="1" si="53"/>
        <v>700</v>
      </c>
      <c r="H419">
        <f t="shared" ca="1" si="54"/>
        <v>2100</v>
      </c>
    </row>
    <row r="420" spans="1:8">
      <c r="A420" s="2">
        <f t="shared" ca="1" si="48"/>
        <v>45682</v>
      </c>
      <c r="B420" s="3">
        <f t="shared" si="55"/>
        <v>1419</v>
      </c>
      <c r="C420" s="4" t="str">
        <f t="shared" ca="1" si="49"/>
        <v>Beans</v>
      </c>
      <c r="D420" s="4" t="str">
        <f t="shared" ca="1" si="50"/>
        <v>Food</v>
      </c>
      <c r="E420" t="str">
        <f t="shared" ca="1" si="51"/>
        <v>Port Harcourt</v>
      </c>
      <c r="F420">
        <f t="shared" ca="1" si="52"/>
        <v>6</v>
      </c>
      <c r="G420">
        <f t="shared" ca="1" si="53"/>
        <v>6400</v>
      </c>
      <c r="H420">
        <f t="shared" ca="1" si="54"/>
        <v>38400</v>
      </c>
    </row>
    <row r="421" spans="1:8">
      <c r="A421" s="2">
        <f t="shared" ca="1" si="48"/>
        <v>45662</v>
      </c>
      <c r="B421" s="3">
        <f t="shared" si="55"/>
        <v>1420</v>
      </c>
      <c r="C421" s="4" t="str">
        <f t="shared" ca="1" si="49"/>
        <v>Noodles</v>
      </c>
      <c r="D421" s="4" t="str">
        <f t="shared" ca="1" si="50"/>
        <v>Beverage</v>
      </c>
      <c r="E421" t="str">
        <f t="shared" ca="1" si="51"/>
        <v>Kano</v>
      </c>
      <c r="F421">
        <f t="shared" ca="1" si="52"/>
        <v>5</v>
      </c>
      <c r="G421">
        <f t="shared" ca="1" si="53"/>
        <v>5300</v>
      </c>
      <c r="H421">
        <f t="shared" ca="1" si="54"/>
        <v>26500</v>
      </c>
    </row>
    <row r="422" spans="1:8">
      <c r="A422" s="2">
        <f t="shared" ca="1" si="48"/>
        <v>45677</v>
      </c>
      <c r="B422" s="3">
        <f t="shared" si="55"/>
        <v>1421</v>
      </c>
      <c r="C422" s="4" t="str">
        <f t="shared" ca="1" si="49"/>
        <v>Bread</v>
      </c>
      <c r="D422" s="4" t="str">
        <f t="shared" ca="1" si="50"/>
        <v>Beverage</v>
      </c>
      <c r="E422" t="str">
        <f t="shared" ca="1" si="51"/>
        <v>Lagos</v>
      </c>
      <c r="F422">
        <f t="shared" ca="1" si="52"/>
        <v>16</v>
      </c>
      <c r="G422">
        <f t="shared" ca="1" si="53"/>
        <v>4400</v>
      </c>
      <c r="H422">
        <f t="shared" ca="1" si="54"/>
        <v>70400</v>
      </c>
    </row>
    <row r="423" spans="1:8">
      <c r="A423" s="2">
        <f t="shared" ca="1" si="48"/>
        <v>45677</v>
      </c>
      <c r="B423" s="3">
        <f t="shared" si="55"/>
        <v>1422</v>
      </c>
      <c r="C423" s="4" t="str">
        <f t="shared" ca="1" si="49"/>
        <v>Soft Drink</v>
      </c>
      <c r="D423" s="4" t="str">
        <f t="shared" ca="1" si="50"/>
        <v>Food</v>
      </c>
      <c r="E423" t="str">
        <f t="shared" ca="1" si="51"/>
        <v>Abuja</v>
      </c>
      <c r="F423">
        <f t="shared" ca="1" si="52"/>
        <v>5</v>
      </c>
      <c r="G423">
        <f t="shared" ca="1" si="53"/>
        <v>2500</v>
      </c>
      <c r="H423">
        <f t="shared" ca="1" si="54"/>
        <v>12500</v>
      </c>
    </row>
    <row r="424" spans="1:8">
      <c r="A424" s="2">
        <f t="shared" ca="1" si="48"/>
        <v>45672</v>
      </c>
      <c r="B424" s="3">
        <f t="shared" si="55"/>
        <v>1423</v>
      </c>
      <c r="C424" s="4" t="str">
        <f t="shared" ca="1" si="49"/>
        <v>Cooking Oil</v>
      </c>
      <c r="D424" s="4" t="str">
        <f t="shared" ca="1" si="50"/>
        <v>Beverage</v>
      </c>
      <c r="E424" t="str">
        <f t="shared" ca="1" si="51"/>
        <v>Lagos</v>
      </c>
      <c r="F424">
        <f t="shared" ca="1" si="52"/>
        <v>12</v>
      </c>
      <c r="G424">
        <f t="shared" ca="1" si="53"/>
        <v>1800</v>
      </c>
      <c r="H424">
        <f t="shared" ca="1" si="54"/>
        <v>21600</v>
      </c>
    </row>
    <row r="425" spans="1:8">
      <c r="A425" s="2">
        <f t="shared" ca="1" si="48"/>
        <v>45670</v>
      </c>
      <c r="B425" s="3">
        <f t="shared" si="55"/>
        <v>1424</v>
      </c>
      <c r="C425" s="4" t="str">
        <f t="shared" ca="1" si="49"/>
        <v>Beans</v>
      </c>
      <c r="D425" s="4" t="str">
        <f t="shared" ca="1" si="50"/>
        <v>Household</v>
      </c>
      <c r="E425" t="str">
        <f t="shared" ca="1" si="51"/>
        <v>Ibadan</v>
      </c>
      <c r="F425">
        <f t="shared" ca="1" si="52"/>
        <v>18</v>
      </c>
      <c r="G425">
        <f t="shared" ca="1" si="53"/>
        <v>5800</v>
      </c>
      <c r="H425">
        <f t="shared" ca="1" si="54"/>
        <v>104400</v>
      </c>
    </row>
    <row r="426" spans="1:8">
      <c r="A426" s="2">
        <f t="shared" ca="1" si="48"/>
        <v>45682</v>
      </c>
      <c r="B426" s="3">
        <f t="shared" si="55"/>
        <v>1425</v>
      </c>
      <c r="C426" s="4" t="str">
        <f t="shared" ca="1" si="49"/>
        <v>Soft Drink</v>
      </c>
      <c r="D426" s="4" t="str">
        <f t="shared" ca="1" si="50"/>
        <v>Beverage</v>
      </c>
      <c r="E426" t="str">
        <f t="shared" ca="1" si="51"/>
        <v>Lagos</v>
      </c>
      <c r="F426">
        <f t="shared" ca="1" si="52"/>
        <v>19</v>
      </c>
      <c r="G426">
        <f t="shared" ca="1" si="53"/>
        <v>4600</v>
      </c>
      <c r="H426">
        <f t="shared" ca="1" si="54"/>
        <v>87400</v>
      </c>
    </row>
    <row r="427" spans="1:8">
      <c r="A427" s="2">
        <f t="shared" ca="1" si="48"/>
        <v>45681</v>
      </c>
      <c r="B427" s="3">
        <f t="shared" si="55"/>
        <v>1426</v>
      </c>
      <c r="C427" s="4" t="str">
        <f t="shared" ca="1" si="49"/>
        <v>Soft Drink</v>
      </c>
      <c r="D427" s="4" t="str">
        <f t="shared" ca="1" si="50"/>
        <v>Household</v>
      </c>
      <c r="E427" t="str">
        <f t="shared" ca="1" si="51"/>
        <v>Lagos</v>
      </c>
      <c r="F427">
        <f t="shared" ca="1" si="52"/>
        <v>19</v>
      </c>
      <c r="G427">
        <f t="shared" ca="1" si="53"/>
        <v>1500</v>
      </c>
      <c r="H427">
        <f t="shared" ca="1" si="54"/>
        <v>28500</v>
      </c>
    </row>
    <row r="428" spans="1:8">
      <c r="A428" s="2">
        <f t="shared" ca="1" si="48"/>
        <v>45669</v>
      </c>
      <c r="B428" s="3">
        <f t="shared" si="55"/>
        <v>1427</v>
      </c>
      <c r="C428" s="4" t="str">
        <f t="shared" ca="1" si="49"/>
        <v>Cooking Oil</v>
      </c>
      <c r="D428" s="4" t="str">
        <f t="shared" ca="1" si="50"/>
        <v>Household</v>
      </c>
      <c r="E428" t="str">
        <f t="shared" ca="1" si="51"/>
        <v>Port Harcourt</v>
      </c>
      <c r="F428">
        <f t="shared" ca="1" si="52"/>
        <v>11</v>
      </c>
      <c r="G428">
        <f t="shared" ca="1" si="53"/>
        <v>1200</v>
      </c>
      <c r="H428">
        <f t="shared" ca="1" si="54"/>
        <v>13200</v>
      </c>
    </row>
    <row r="429" spans="1:8">
      <c r="A429" s="2">
        <f t="shared" ca="1" si="48"/>
        <v>45665</v>
      </c>
      <c r="B429" s="3">
        <f t="shared" si="55"/>
        <v>1428</v>
      </c>
      <c r="C429" s="4" t="str">
        <f t="shared" ca="1" si="49"/>
        <v>Cooking Oil</v>
      </c>
      <c r="D429" s="4" t="str">
        <f t="shared" ca="1" si="50"/>
        <v>Food</v>
      </c>
      <c r="E429" t="str">
        <f t="shared" ca="1" si="51"/>
        <v>Ibadan</v>
      </c>
      <c r="F429">
        <f t="shared" ca="1" si="52"/>
        <v>10</v>
      </c>
      <c r="G429">
        <f t="shared" ca="1" si="53"/>
        <v>6300</v>
      </c>
      <c r="H429">
        <f t="shared" ca="1" si="54"/>
        <v>63000</v>
      </c>
    </row>
    <row r="430" spans="1:8">
      <c r="A430" s="2">
        <f t="shared" ca="1" si="48"/>
        <v>45671</v>
      </c>
      <c r="B430" s="3">
        <f t="shared" si="55"/>
        <v>1429</v>
      </c>
      <c r="C430" s="4" t="str">
        <f t="shared" ca="1" si="49"/>
        <v>Noodles</v>
      </c>
      <c r="D430" s="4" t="str">
        <f t="shared" ca="1" si="50"/>
        <v>Household</v>
      </c>
      <c r="E430" t="str">
        <f t="shared" ca="1" si="51"/>
        <v>Lagos</v>
      </c>
      <c r="F430">
        <f t="shared" ca="1" si="52"/>
        <v>2</v>
      </c>
      <c r="G430">
        <f t="shared" ca="1" si="53"/>
        <v>500</v>
      </c>
      <c r="H430">
        <f t="shared" ca="1" si="54"/>
        <v>1000</v>
      </c>
    </row>
    <row r="431" spans="1:8">
      <c r="A431" s="2">
        <f t="shared" ca="1" si="48"/>
        <v>45666</v>
      </c>
      <c r="B431" s="3">
        <f t="shared" si="55"/>
        <v>1430</v>
      </c>
      <c r="C431" s="4" t="str">
        <f t="shared" ca="1" si="49"/>
        <v>Bread</v>
      </c>
      <c r="D431" s="4" t="str">
        <f t="shared" ca="1" si="50"/>
        <v>Household</v>
      </c>
      <c r="E431" t="str">
        <f t="shared" ca="1" si="51"/>
        <v>Abuja</v>
      </c>
      <c r="F431">
        <f t="shared" ca="1" si="52"/>
        <v>6</v>
      </c>
      <c r="G431">
        <f t="shared" ca="1" si="53"/>
        <v>4900</v>
      </c>
      <c r="H431">
        <f t="shared" ca="1" si="54"/>
        <v>29400</v>
      </c>
    </row>
    <row r="432" spans="1:8">
      <c r="A432" s="2">
        <f t="shared" ca="1" si="48"/>
        <v>45658</v>
      </c>
      <c r="B432" s="3">
        <f t="shared" si="55"/>
        <v>1431</v>
      </c>
      <c r="C432" s="4" t="str">
        <f t="shared" ca="1" si="49"/>
        <v>Beans</v>
      </c>
      <c r="D432" s="4" t="str">
        <f t="shared" ca="1" si="50"/>
        <v>Beverage</v>
      </c>
      <c r="E432" t="str">
        <f t="shared" ca="1" si="51"/>
        <v>Port Harcourt</v>
      </c>
      <c r="F432">
        <f t="shared" ca="1" si="52"/>
        <v>20</v>
      </c>
      <c r="G432">
        <f t="shared" ca="1" si="53"/>
        <v>4600</v>
      </c>
      <c r="H432">
        <f t="shared" ca="1" si="54"/>
        <v>92000</v>
      </c>
    </row>
    <row r="433" spans="1:8">
      <c r="A433" s="2">
        <f t="shared" ca="1" si="48"/>
        <v>45668</v>
      </c>
      <c r="B433" s="3">
        <f t="shared" si="55"/>
        <v>1432</v>
      </c>
      <c r="C433" s="4" t="str">
        <f t="shared" ca="1" si="49"/>
        <v>Sugar</v>
      </c>
      <c r="D433" s="4" t="str">
        <f t="shared" ca="1" si="50"/>
        <v>Food</v>
      </c>
      <c r="E433" t="str">
        <f t="shared" ca="1" si="51"/>
        <v>Kano</v>
      </c>
      <c r="F433">
        <f t="shared" ca="1" si="52"/>
        <v>14</v>
      </c>
      <c r="G433">
        <f t="shared" ca="1" si="53"/>
        <v>2900</v>
      </c>
      <c r="H433">
        <f t="shared" ca="1" si="54"/>
        <v>40600</v>
      </c>
    </row>
    <row r="434" spans="1:8">
      <c r="A434" s="2">
        <f t="shared" ca="1" si="48"/>
        <v>45664</v>
      </c>
      <c r="B434" s="3">
        <f t="shared" si="55"/>
        <v>1433</v>
      </c>
      <c r="C434" s="4" t="str">
        <f t="shared" ca="1" si="49"/>
        <v>Noodles</v>
      </c>
      <c r="D434" s="4" t="str">
        <f t="shared" ca="1" si="50"/>
        <v>Beverage</v>
      </c>
      <c r="E434" t="str">
        <f t="shared" ca="1" si="51"/>
        <v>Lagos</v>
      </c>
      <c r="F434">
        <f t="shared" ca="1" si="52"/>
        <v>18</v>
      </c>
      <c r="G434">
        <f t="shared" ca="1" si="53"/>
        <v>4300</v>
      </c>
      <c r="H434">
        <f t="shared" ca="1" si="54"/>
        <v>77400</v>
      </c>
    </row>
    <row r="435" spans="1:8">
      <c r="A435" s="2">
        <f t="shared" ca="1" si="48"/>
        <v>45659</v>
      </c>
      <c r="B435" s="3">
        <f t="shared" si="55"/>
        <v>1434</v>
      </c>
      <c r="C435" s="4" t="str">
        <f t="shared" ca="1" si="49"/>
        <v>Soft Drink</v>
      </c>
      <c r="D435" s="4" t="str">
        <f t="shared" ca="1" si="50"/>
        <v>Food</v>
      </c>
      <c r="E435" t="str">
        <f t="shared" ca="1" si="51"/>
        <v>Ibadan</v>
      </c>
      <c r="F435">
        <f t="shared" ca="1" si="52"/>
        <v>3</v>
      </c>
      <c r="G435">
        <f t="shared" ca="1" si="53"/>
        <v>4900</v>
      </c>
      <c r="H435">
        <f t="shared" ca="1" si="54"/>
        <v>14700</v>
      </c>
    </row>
    <row r="436" spans="1:8">
      <c r="A436" s="2">
        <f t="shared" ca="1" si="48"/>
        <v>45672</v>
      </c>
      <c r="B436" s="3">
        <f t="shared" si="55"/>
        <v>1435</v>
      </c>
      <c r="C436" s="4" t="str">
        <f t="shared" ca="1" si="49"/>
        <v>Bread</v>
      </c>
      <c r="D436" s="4" t="str">
        <f t="shared" ca="1" si="50"/>
        <v>Food</v>
      </c>
      <c r="E436" t="str">
        <f t="shared" ca="1" si="51"/>
        <v>Lagos</v>
      </c>
      <c r="F436">
        <f t="shared" ca="1" si="52"/>
        <v>4</v>
      </c>
      <c r="G436">
        <f t="shared" ca="1" si="53"/>
        <v>6300</v>
      </c>
      <c r="H436">
        <f t="shared" ca="1" si="54"/>
        <v>25200</v>
      </c>
    </row>
    <row r="437" spans="1:8">
      <c r="A437" s="2">
        <f t="shared" ca="1" si="48"/>
        <v>45685</v>
      </c>
      <c r="B437" s="3">
        <f t="shared" si="55"/>
        <v>1436</v>
      </c>
      <c r="C437" s="4" t="str">
        <f t="shared" ca="1" si="49"/>
        <v>Rice</v>
      </c>
      <c r="D437" s="4" t="str">
        <f t="shared" ca="1" si="50"/>
        <v>Food</v>
      </c>
      <c r="E437" t="str">
        <f t="shared" ca="1" si="51"/>
        <v>Abuja</v>
      </c>
      <c r="F437">
        <f t="shared" ca="1" si="52"/>
        <v>10</v>
      </c>
      <c r="G437">
        <f t="shared" ca="1" si="53"/>
        <v>3400</v>
      </c>
      <c r="H437">
        <f t="shared" ca="1" si="54"/>
        <v>34000</v>
      </c>
    </row>
    <row r="438" spans="1:8">
      <c r="A438" s="2">
        <f t="shared" ca="1" si="48"/>
        <v>45661</v>
      </c>
      <c r="B438" s="3">
        <f t="shared" si="55"/>
        <v>1437</v>
      </c>
      <c r="C438" s="4" t="str">
        <f t="shared" ca="1" si="49"/>
        <v>Beans</v>
      </c>
      <c r="D438" s="4" t="str">
        <f t="shared" ca="1" si="50"/>
        <v>Household</v>
      </c>
      <c r="E438" t="str">
        <f t="shared" ca="1" si="51"/>
        <v>Ibadan</v>
      </c>
      <c r="F438">
        <f t="shared" ca="1" si="52"/>
        <v>15</v>
      </c>
      <c r="G438">
        <f t="shared" ca="1" si="53"/>
        <v>6900</v>
      </c>
      <c r="H438">
        <f t="shared" ca="1" si="54"/>
        <v>103500</v>
      </c>
    </row>
    <row r="439" spans="1:8">
      <c r="A439" s="2">
        <f t="shared" ca="1" si="48"/>
        <v>45667</v>
      </c>
      <c r="B439" s="3">
        <f t="shared" si="55"/>
        <v>1438</v>
      </c>
      <c r="C439" s="4" t="str">
        <f t="shared" ca="1" si="49"/>
        <v>Milk</v>
      </c>
      <c r="D439" s="4" t="str">
        <f t="shared" ca="1" si="50"/>
        <v>Beverage</v>
      </c>
      <c r="E439" t="str">
        <f t="shared" ca="1" si="51"/>
        <v>Lagos</v>
      </c>
      <c r="F439">
        <f t="shared" ca="1" si="52"/>
        <v>16</v>
      </c>
      <c r="G439">
        <f t="shared" ca="1" si="53"/>
        <v>5100</v>
      </c>
      <c r="H439">
        <f t="shared" ca="1" si="54"/>
        <v>81600</v>
      </c>
    </row>
    <row r="440" spans="1:8">
      <c r="A440" s="2">
        <f t="shared" ca="1" si="48"/>
        <v>45679</v>
      </c>
      <c r="B440" s="3">
        <f t="shared" si="55"/>
        <v>1439</v>
      </c>
      <c r="C440" s="4" t="str">
        <f t="shared" ca="1" si="49"/>
        <v>Bread</v>
      </c>
      <c r="D440" s="4" t="str">
        <f t="shared" ca="1" si="50"/>
        <v>Food</v>
      </c>
      <c r="E440" t="str">
        <f t="shared" ca="1" si="51"/>
        <v>Port Harcourt</v>
      </c>
      <c r="F440">
        <f t="shared" ca="1" si="52"/>
        <v>12</v>
      </c>
      <c r="G440">
        <f t="shared" ca="1" si="53"/>
        <v>1300</v>
      </c>
      <c r="H440">
        <f t="shared" ca="1" si="54"/>
        <v>15600</v>
      </c>
    </row>
    <row r="441" spans="1:8">
      <c r="A441" s="2">
        <f t="shared" ca="1" si="48"/>
        <v>45680</v>
      </c>
      <c r="B441" s="3">
        <f t="shared" si="55"/>
        <v>1440</v>
      </c>
      <c r="C441" s="4" t="str">
        <f t="shared" ca="1" si="49"/>
        <v>Bread</v>
      </c>
      <c r="D441" s="4" t="str">
        <f t="shared" ca="1" si="50"/>
        <v>Household</v>
      </c>
      <c r="E441" t="str">
        <f t="shared" ca="1" si="51"/>
        <v>Port Harcourt</v>
      </c>
      <c r="F441">
        <f t="shared" ca="1" si="52"/>
        <v>2</v>
      </c>
      <c r="G441">
        <f t="shared" ca="1" si="53"/>
        <v>2100</v>
      </c>
      <c r="H441">
        <f t="shared" ca="1" si="54"/>
        <v>4200</v>
      </c>
    </row>
    <row r="442" spans="1:8">
      <c r="A442" s="2">
        <f t="shared" ca="1" si="48"/>
        <v>45684</v>
      </c>
      <c r="B442" s="3">
        <f t="shared" si="55"/>
        <v>1441</v>
      </c>
      <c r="C442" s="4" t="str">
        <f t="shared" ca="1" si="49"/>
        <v>Soft Drink</v>
      </c>
      <c r="D442" s="4" t="str">
        <f t="shared" ca="1" si="50"/>
        <v>Food</v>
      </c>
      <c r="E442" t="str">
        <f t="shared" ca="1" si="51"/>
        <v>Ibadan</v>
      </c>
      <c r="F442">
        <f t="shared" ca="1" si="52"/>
        <v>17</v>
      </c>
      <c r="G442">
        <f t="shared" ca="1" si="53"/>
        <v>4700</v>
      </c>
      <c r="H442">
        <f t="shared" ca="1" si="54"/>
        <v>79900</v>
      </c>
    </row>
    <row r="443" spans="1:8">
      <c r="A443" s="2">
        <f t="shared" ca="1" si="48"/>
        <v>45672</v>
      </c>
      <c r="B443" s="3">
        <f t="shared" si="55"/>
        <v>1442</v>
      </c>
      <c r="C443" s="4" t="str">
        <f t="shared" ca="1" si="49"/>
        <v>Beans</v>
      </c>
      <c r="D443" s="4" t="str">
        <f t="shared" ca="1" si="50"/>
        <v>Food</v>
      </c>
      <c r="E443" t="str">
        <f t="shared" ca="1" si="51"/>
        <v>Abuja</v>
      </c>
      <c r="F443">
        <f t="shared" ca="1" si="52"/>
        <v>18</v>
      </c>
      <c r="G443">
        <f t="shared" ca="1" si="53"/>
        <v>2400</v>
      </c>
      <c r="H443">
        <f t="shared" ca="1" si="54"/>
        <v>43200</v>
      </c>
    </row>
    <row r="444" spans="1:8">
      <c r="A444" s="2">
        <f t="shared" ca="1" si="48"/>
        <v>45671</v>
      </c>
      <c r="B444" s="3">
        <f t="shared" si="55"/>
        <v>1443</v>
      </c>
      <c r="C444" s="4" t="str">
        <f t="shared" ca="1" si="49"/>
        <v>Milk</v>
      </c>
      <c r="D444" s="4" t="str">
        <f t="shared" ca="1" si="50"/>
        <v>Household</v>
      </c>
      <c r="E444" t="str">
        <f t="shared" ca="1" si="51"/>
        <v>Port Harcourt</v>
      </c>
      <c r="F444">
        <f t="shared" ca="1" si="52"/>
        <v>8</v>
      </c>
      <c r="G444">
        <f t="shared" ca="1" si="53"/>
        <v>5800</v>
      </c>
      <c r="H444">
        <f t="shared" ca="1" si="54"/>
        <v>46400</v>
      </c>
    </row>
    <row r="445" spans="1:8">
      <c r="A445" s="2">
        <f t="shared" ca="1" si="48"/>
        <v>45665</v>
      </c>
      <c r="B445" s="3">
        <f t="shared" si="55"/>
        <v>1444</v>
      </c>
      <c r="C445" s="4" t="str">
        <f t="shared" ca="1" si="49"/>
        <v>Noodles</v>
      </c>
      <c r="D445" s="4" t="str">
        <f t="shared" ca="1" si="50"/>
        <v>Food</v>
      </c>
      <c r="E445" t="str">
        <f t="shared" ca="1" si="51"/>
        <v>Lagos</v>
      </c>
      <c r="F445">
        <f t="shared" ca="1" si="52"/>
        <v>16</v>
      </c>
      <c r="G445">
        <f t="shared" ca="1" si="53"/>
        <v>4200</v>
      </c>
      <c r="H445">
        <f t="shared" ca="1" si="54"/>
        <v>67200</v>
      </c>
    </row>
    <row r="446" spans="1:8">
      <c r="A446" s="2">
        <f t="shared" ca="1" si="48"/>
        <v>45665</v>
      </c>
      <c r="B446" s="3">
        <f t="shared" si="55"/>
        <v>1445</v>
      </c>
      <c r="C446" s="4" t="str">
        <f t="shared" ca="1" si="49"/>
        <v>Beans</v>
      </c>
      <c r="D446" s="4" t="str">
        <f t="shared" ca="1" si="50"/>
        <v>Food</v>
      </c>
      <c r="E446" t="str">
        <f t="shared" ca="1" si="51"/>
        <v>Abuja</v>
      </c>
      <c r="F446">
        <f t="shared" ca="1" si="52"/>
        <v>18</v>
      </c>
      <c r="G446">
        <f t="shared" ca="1" si="53"/>
        <v>6300</v>
      </c>
      <c r="H446">
        <f t="shared" ca="1" si="54"/>
        <v>113400</v>
      </c>
    </row>
    <row r="447" spans="1:8">
      <c r="A447" s="2">
        <f t="shared" ca="1" si="48"/>
        <v>45672</v>
      </c>
      <c r="B447" s="3">
        <f t="shared" si="55"/>
        <v>1446</v>
      </c>
      <c r="C447" s="4" t="str">
        <f t="shared" ca="1" si="49"/>
        <v>Bread</v>
      </c>
      <c r="D447" s="4" t="str">
        <f t="shared" ca="1" si="50"/>
        <v>Household</v>
      </c>
      <c r="E447" t="str">
        <f t="shared" ca="1" si="51"/>
        <v>Lagos</v>
      </c>
      <c r="F447">
        <f t="shared" ca="1" si="52"/>
        <v>17</v>
      </c>
      <c r="G447">
        <f t="shared" ca="1" si="53"/>
        <v>6500</v>
      </c>
      <c r="H447">
        <f t="shared" ca="1" si="54"/>
        <v>110500</v>
      </c>
    </row>
    <row r="448" spans="1:8">
      <c r="A448" s="2">
        <f t="shared" ca="1" si="48"/>
        <v>45667</v>
      </c>
      <c r="B448" s="3">
        <f t="shared" si="55"/>
        <v>1447</v>
      </c>
      <c r="C448" s="4" t="str">
        <f t="shared" ca="1" si="49"/>
        <v>Rice</v>
      </c>
      <c r="D448" s="4" t="str">
        <f t="shared" ca="1" si="50"/>
        <v>Beverage</v>
      </c>
      <c r="E448" t="str">
        <f t="shared" ca="1" si="51"/>
        <v>Abuja</v>
      </c>
      <c r="F448">
        <f t="shared" ca="1" si="52"/>
        <v>8</v>
      </c>
      <c r="G448">
        <f t="shared" ca="1" si="53"/>
        <v>6000</v>
      </c>
      <c r="H448">
        <f t="shared" ca="1" si="54"/>
        <v>48000</v>
      </c>
    </row>
    <row r="449" spans="1:8">
      <c r="A449" s="2">
        <f t="shared" ca="1" si="48"/>
        <v>45671</v>
      </c>
      <c r="B449" s="3">
        <f t="shared" si="55"/>
        <v>1448</v>
      </c>
      <c r="C449" s="4" t="str">
        <f t="shared" ca="1" si="49"/>
        <v>Bread</v>
      </c>
      <c r="D449" s="4" t="str">
        <f t="shared" ca="1" si="50"/>
        <v>Household</v>
      </c>
      <c r="E449" t="str">
        <f t="shared" ca="1" si="51"/>
        <v>Port Harcourt</v>
      </c>
      <c r="F449">
        <f t="shared" ca="1" si="52"/>
        <v>5</v>
      </c>
      <c r="G449">
        <f t="shared" ca="1" si="53"/>
        <v>3100</v>
      </c>
      <c r="H449">
        <f t="shared" ca="1" si="54"/>
        <v>15500</v>
      </c>
    </row>
    <row r="450" spans="1:8">
      <c r="A450" s="2">
        <f t="shared" ca="1" si="48"/>
        <v>45685</v>
      </c>
      <c r="B450" s="3">
        <f t="shared" si="55"/>
        <v>1449</v>
      </c>
      <c r="C450" s="4" t="str">
        <f t="shared" ca="1" si="49"/>
        <v>Soft Drink</v>
      </c>
      <c r="D450" s="4" t="str">
        <f t="shared" ca="1" si="50"/>
        <v>Household</v>
      </c>
      <c r="E450" t="str">
        <f t="shared" ca="1" si="51"/>
        <v>Port Harcourt</v>
      </c>
      <c r="F450">
        <f t="shared" ca="1" si="52"/>
        <v>7</v>
      </c>
      <c r="G450">
        <f t="shared" ca="1" si="53"/>
        <v>1300</v>
      </c>
      <c r="H450">
        <f t="shared" ca="1" si="54"/>
        <v>9100</v>
      </c>
    </row>
    <row r="451" spans="1:8">
      <c r="A451" s="2">
        <f t="shared" ref="A451:A500" ca="1" si="56">DATE(2025,1,RANDBETWEEN(1,28))</f>
        <v>45670</v>
      </c>
      <c r="B451" s="3">
        <f t="shared" si="55"/>
        <v>1450</v>
      </c>
      <c r="C451" s="4" t="str">
        <f t="shared" ref="C451:C500" ca="1" si="57">CHOOSE(RANDBETWEEN(1,8),"Rice","Beans","Cooking Oil","Milk","Bread","Sugar","Noodles","Soft Drink")</f>
        <v>Cooking Oil</v>
      </c>
      <c r="D451" s="4" t="str">
        <f t="shared" ref="D451:D500" ca="1" si="58">CHOOSE(RANDBETWEEN(1,3),"Food","Beverage","Household")</f>
        <v>Household</v>
      </c>
      <c r="E451" t="str">
        <f t="shared" ref="E451:E500" ca="1" si="59">CHOOSE(RANDBETWEEN(1,5),"Lagos","Abuja","Port Harcourt","Ibadan","Kano")</f>
        <v>Lagos</v>
      </c>
      <c r="F451">
        <f t="shared" ref="F451:F500" ca="1" si="60">RANDBETWEEN(1,20)</f>
        <v>9</v>
      </c>
      <c r="G451">
        <f t="shared" ref="G451:G500" ca="1" si="61">ROUND(RANDBETWEEN(500,7000)/100,0)*100</f>
        <v>2500</v>
      </c>
      <c r="H451">
        <f t="shared" ref="H451:H500" ca="1" si="62">F451*G451</f>
        <v>22500</v>
      </c>
    </row>
    <row r="452" spans="1:8">
      <c r="A452" s="2">
        <f t="shared" ca="1" si="56"/>
        <v>45681</v>
      </c>
      <c r="B452" s="3">
        <f t="shared" ref="B452:B500" si="63">B451+1</f>
        <v>1451</v>
      </c>
      <c r="C452" s="4" t="str">
        <f t="shared" ca="1" si="57"/>
        <v>Cooking Oil</v>
      </c>
      <c r="D452" s="4" t="str">
        <f t="shared" ca="1" si="58"/>
        <v>Food</v>
      </c>
      <c r="E452" t="str">
        <f t="shared" ca="1" si="59"/>
        <v>Abuja</v>
      </c>
      <c r="F452">
        <f t="shared" ca="1" si="60"/>
        <v>8</v>
      </c>
      <c r="G452">
        <f t="shared" ca="1" si="61"/>
        <v>2400</v>
      </c>
      <c r="H452">
        <f t="shared" ca="1" si="62"/>
        <v>19200</v>
      </c>
    </row>
    <row r="453" spans="1:8">
      <c r="A453" s="2">
        <f t="shared" ca="1" si="56"/>
        <v>45668</v>
      </c>
      <c r="B453" s="3">
        <f t="shared" si="63"/>
        <v>1452</v>
      </c>
      <c r="C453" s="4" t="str">
        <f t="shared" ca="1" si="57"/>
        <v>Soft Drink</v>
      </c>
      <c r="D453" s="4" t="str">
        <f t="shared" ca="1" si="58"/>
        <v>Food</v>
      </c>
      <c r="E453" t="str">
        <f t="shared" ca="1" si="59"/>
        <v>Kano</v>
      </c>
      <c r="F453">
        <f t="shared" ca="1" si="60"/>
        <v>9</v>
      </c>
      <c r="G453">
        <f t="shared" ca="1" si="61"/>
        <v>4500</v>
      </c>
      <c r="H453">
        <f t="shared" ca="1" si="62"/>
        <v>40500</v>
      </c>
    </row>
    <row r="454" spans="1:8">
      <c r="A454" s="2">
        <f t="shared" ca="1" si="56"/>
        <v>45664</v>
      </c>
      <c r="B454" s="3">
        <f t="shared" si="63"/>
        <v>1453</v>
      </c>
      <c r="C454" s="4" t="str">
        <f t="shared" ca="1" si="57"/>
        <v>Sugar</v>
      </c>
      <c r="D454" s="4" t="str">
        <f t="shared" ca="1" si="58"/>
        <v>Food</v>
      </c>
      <c r="E454" t="str">
        <f t="shared" ca="1" si="59"/>
        <v>Abuja</v>
      </c>
      <c r="F454">
        <f t="shared" ca="1" si="60"/>
        <v>10</v>
      </c>
      <c r="G454">
        <f t="shared" ca="1" si="61"/>
        <v>6600</v>
      </c>
      <c r="H454">
        <f t="shared" ca="1" si="62"/>
        <v>66000</v>
      </c>
    </row>
    <row r="455" spans="1:8">
      <c r="A455" s="2">
        <f t="shared" ca="1" si="56"/>
        <v>45661</v>
      </c>
      <c r="B455" s="3">
        <f t="shared" si="63"/>
        <v>1454</v>
      </c>
      <c r="C455" s="4" t="str">
        <f t="shared" ca="1" si="57"/>
        <v>Soft Drink</v>
      </c>
      <c r="D455" s="4" t="str">
        <f t="shared" ca="1" si="58"/>
        <v>Beverage</v>
      </c>
      <c r="E455" t="str">
        <f t="shared" ca="1" si="59"/>
        <v>Lagos</v>
      </c>
      <c r="F455">
        <f t="shared" ca="1" si="60"/>
        <v>15</v>
      </c>
      <c r="G455">
        <f t="shared" ca="1" si="61"/>
        <v>1200</v>
      </c>
      <c r="H455">
        <f t="shared" ca="1" si="62"/>
        <v>18000</v>
      </c>
    </row>
    <row r="456" spans="1:8">
      <c r="A456" s="2">
        <f t="shared" ca="1" si="56"/>
        <v>45668</v>
      </c>
      <c r="B456" s="3">
        <f t="shared" si="63"/>
        <v>1455</v>
      </c>
      <c r="C456" s="4" t="str">
        <f t="shared" ca="1" si="57"/>
        <v>Milk</v>
      </c>
      <c r="D456" s="4" t="str">
        <f t="shared" ca="1" si="58"/>
        <v>Beverage</v>
      </c>
      <c r="E456" t="str">
        <f t="shared" ca="1" si="59"/>
        <v>Kano</v>
      </c>
      <c r="F456">
        <f t="shared" ca="1" si="60"/>
        <v>7</v>
      </c>
      <c r="G456">
        <f t="shared" ca="1" si="61"/>
        <v>5400</v>
      </c>
      <c r="H456">
        <f t="shared" ca="1" si="62"/>
        <v>37800</v>
      </c>
    </row>
    <row r="457" spans="1:8">
      <c r="A457" s="2">
        <f t="shared" ca="1" si="56"/>
        <v>45680</v>
      </c>
      <c r="B457" s="3">
        <f t="shared" si="63"/>
        <v>1456</v>
      </c>
      <c r="C457" s="4" t="str">
        <f t="shared" ca="1" si="57"/>
        <v>Sugar</v>
      </c>
      <c r="D457" s="4" t="str">
        <f t="shared" ca="1" si="58"/>
        <v>Food</v>
      </c>
      <c r="E457" t="str">
        <f t="shared" ca="1" si="59"/>
        <v>Port Harcourt</v>
      </c>
      <c r="F457">
        <f t="shared" ca="1" si="60"/>
        <v>19</v>
      </c>
      <c r="G457">
        <f t="shared" ca="1" si="61"/>
        <v>6100</v>
      </c>
      <c r="H457">
        <f t="shared" ca="1" si="62"/>
        <v>115900</v>
      </c>
    </row>
    <row r="458" spans="1:8">
      <c r="A458" s="2">
        <f t="shared" ca="1" si="56"/>
        <v>45658</v>
      </c>
      <c r="B458" s="3">
        <f t="shared" si="63"/>
        <v>1457</v>
      </c>
      <c r="C458" s="4" t="str">
        <f t="shared" ca="1" si="57"/>
        <v>Soft Drink</v>
      </c>
      <c r="D458" s="4" t="str">
        <f t="shared" ca="1" si="58"/>
        <v>Beverage</v>
      </c>
      <c r="E458" t="str">
        <f t="shared" ca="1" si="59"/>
        <v>Abuja</v>
      </c>
      <c r="F458">
        <f t="shared" ca="1" si="60"/>
        <v>17</v>
      </c>
      <c r="G458">
        <f t="shared" ca="1" si="61"/>
        <v>6600</v>
      </c>
      <c r="H458">
        <f t="shared" ca="1" si="62"/>
        <v>112200</v>
      </c>
    </row>
    <row r="459" spans="1:8">
      <c r="A459" s="2">
        <f t="shared" ca="1" si="56"/>
        <v>45674</v>
      </c>
      <c r="B459" s="3">
        <f t="shared" si="63"/>
        <v>1458</v>
      </c>
      <c r="C459" s="4" t="str">
        <f t="shared" ca="1" si="57"/>
        <v>Cooking Oil</v>
      </c>
      <c r="D459" s="4" t="str">
        <f t="shared" ca="1" si="58"/>
        <v>Household</v>
      </c>
      <c r="E459" t="str">
        <f t="shared" ca="1" si="59"/>
        <v>Lagos</v>
      </c>
      <c r="F459">
        <f t="shared" ca="1" si="60"/>
        <v>9</v>
      </c>
      <c r="G459">
        <f t="shared" ca="1" si="61"/>
        <v>3100</v>
      </c>
      <c r="H459">
        <f t="shared" ca="1" si="62"/>
        <v>27900</v>
      </c>
    </row>
    <row r="460" spans="1:8">
      <c r="A460" s="2">
        <f t="shared" ca="1" si="56"/>
        <v>45682</v>
      </c>
      <c r="B460" s="3">
        <f t="shared" si="63"/>
        <v>1459</v>
      </c>
      <c r="C460" s="4" t="str">
        <f t="shared" ca="1" si="57"/>
        <v>Soft Drink</v>
      </c>
      <c r="D460" s="4" t="str">
        <f t="shared" ca="1" si="58"/>
        <v>Household</v>
      </c>
      <c r="E460" t="str">
        <f t="shared" ca="1" si="59"/>
        <v>Abuja</v>
      </c>
      <c r="F460">
        <f t="shared" ca="1" si="60"/>
        <v>4</v>
      </c>
      <c r="G460">
        <f t="shared" ca="1" si="61"/>
        <v>5100</v>
      </c>
      <c r="H460">
        <f t="shared" ca="1" si="62"/>
        <v>20400</v>
      </c>
    </row>
    <row r="461" spans="1:8">
      <c r="A461" s="2">
        <f t="shared" ca="1" si="56"/>
        <v>45682</v>
      </c>
      <c r="B461" s="3">
        <f t="shared" si="63"/>
        <v>1460</v>
      </c>
      <c r="C461" s="4" t="str">
        <f t="shared" ca="1" si="57"/>
        <v>Noodles</v>
      </c>
      <c r="D461" s="4" t="str">
        <f t="shared" ca="1" si="58"/>
        <v>Beverage</v>
      </c>
      <c r="E461" t="str">
        <f t="shared" ca="1" si="59"/>
        <v>Ibadan</v>
      </c>
      <c r="F461">
        <f t="shared" ca="1" si="60"/>
        <v>20</v>
      </c>
      <c r="G461">
        <f t="shared" ca="1" si="61"/>
        <v>1100</v>
      </c>
      <c r="H461">
        <f t="shared" ca="1" si="62"/>
        <v>22000</v>
      </c>
    </row>
    <row r="462" spans="1:8">
      <c r="A462" s="2">
        <f t="shared" ca="1" si="56"/>
        <v>45672</v>
      </c>
      <c r="B462" s="3">
        <f t="shared" si="63"/>
        <v>1461</v>
      </c>
      <c r="C462" s="4" t="str">
        <f t="shared" ca="1" si="57"/>
        <v>Beans</v>
      </c>
      <c r="D462" s="4" t="str">
        <f t="shared" ca="1" si="58"/>
        <v>Food</v>
      </c>
      <c r="E462" t="str">
        <f t="shared" ca="1" si="59"/>
        <v>Abuja</v>
      </c>
      <c r="F462">
        <f t="shared" ca="1" si="60"/>
        <v>5</v>
      </c>
      <c r="G462">
        <f t="shared" ca="1" si="61"/>
        <v>2100</v>
      </c>
      <c r="H462">
        <f t="shared" ca="1" si="62"/>
        <v>10500</v>
      </c>
    </row>
    <row r="463" spans="1:8">
      <c r="A463" s="2">
        <f t="shared" ca="1" si="56"/>
        <v>45681</v>
      </c>
      <c r="B463" s="3">
        <f t="shared" si="63"/>
        <v>1462</v>
      </c>
      <c r="C463" s="4" t="str">
        <f t="shared" ca="1" si="57"/>
        <v>Bread</v>
      </c>
      <c r="D463" s="4" t="str">
        <f t="shared" ca="1" si="58"/>
        <v>Household</v>
      </c>
      <c r="E463" t="str">
        <f t="shared" ca="1" si="59"/>
        <v>Lagos</v>
      </c>
      <c r="F463">
        <f t="shared" ca="1" si="60"/>
        <v>17</v>
      </c>
      <c r="G463">
        <f t="shared" ca="1" si="61"/>
        <v>5200</v>
      </c>
      <c r="H463">
        <f t="shared" ca="1" si="62"/>
        <v>88400</v>
      </c>
    </row>
    <row r="464" spans="1:8">
      <c r="A464" s="2">
        <f t="shared" ca="1" si="56"/>
        <v>45679</v>
      </c>
      <c r="B464" s="3">
        <f t="shared" si="63"/>
        <v>1463</v>
      </c>
      <c r="C464" s="4" t="str">
        <f t="shared" ca="1" si="57"/>
        <v>Sugar</v>
      </c>
      <c r="D464" s="4" t="str">
        <f t="shared" ca="1" si="58"/>
        <v>Beverage</v>
      </c>
      <c r="E464" t="str">
        <f t="shared" ca="1" si="59"/>
        <v>Kano</v>
      </c>
      <c r="F464">
        <f t="shared" ca="1" si="60"/>
        <v>1</v>
      </c>
      <c r="G464">
        <f t="shared" ca="1" si="61"/>
        <v>3000</v>
      </c>
      <c r="H464">
        <f t="shared" ca="1" si="62"/>
        <v>3000</v>
      </c>
    </row>
    <row r="465" spans="1:8">
      <c r="A465" s="2">
        <f t="shared" ca="1" si="56"/>
        <v>45675</v>
      </c>
      <c r="B465" s="3">
        <f t="shared" si="63"/>
        <v>1464</v>
      </c>
      <c r="C465" s="4" t="str">
        <f t="shared" ca="1" si="57"/>
        <v>Rice</v>
      </c>
      <c r="D465" s="4" t="str">
        <f t="shared" ca="1" si="58"/>
        <v>Household</v>
      </c>
      <c r="E465" t="str">
        <f t="shared" ca="1" si="59"/>
        <v>Kano</v>
      </c>
      <c r="F465">
        <f t="shared" ca="1" si="60"/>
        <v>12</v>
      </c>
      <c r="G465">
        <f t="shared" ca="1" si="61"/>
        <v>2200</v>
      </c>
      <c r="H465">
        <f t="shared" ca="1" si="62"/>
        <v>26400</v>
      </c>
    </row>
    <row r="466" spans="1:8">
      <c r="A466" s="2">
        <f t="shared" ca="1" si="56"/>
        <v>45672</v>
      </c>
      <c r="B466" s="3">
        <f t="shared" si="63"/>
        <v>1465</v>
      </c>
      <c r="C466" s="4" t="str">
        <f t="shared" ca="1" si="57"/>
        <v>Bread</v>
      </c>
      <c r="D466" s="4" t="str">
        <f t="shared" ca="1" si="58"/>
        <v>Beverage</v>
      </c>
      <c r="E466" t="str">
        <f t="shared" ca="1" si="59"/>
        <v>Port Harcourt</v>
      </c>
      <c r="F466">
        <f t="shared" ca="1" si="60"/>
        <v>13</v>
      </c>
      <c r="G466">
        <f t="shared" ca="1" si="61"/>
        <v>1000</v>
      </c>
      <c r="H466">
        <f t="shared" ca="1" si="62"/>
        <v>13000</v>
      </c>
    </row>
    <row r="467" spans="1:8">
      <c r="A467" s="2">
        <f t="shared" ca="1" si="56"/>
        <v>45670</v>
      </c>
      <c r="B467" s="3">
        <f t="shared" si="63"/>
        <v>1466</v>
      </c>
      <c r="C467" s="4" t="str">
        <f t="shared" ca="1" si="57"/>
        <v>Cooking Oil</v>
      </c>
      <c r="D467" s="4" t="str">
        <f t="shared" ca="1" si="58"/>
        <v>Beverage</v>
      </c>
      <c r="E467" t="str">
        <f t="shared" ca="1" si="59"/>
        <v>Lagos</v>
      </c>
      <c r="F467">
        <f t="shared" ca="1" si="60"/>
        <v>16</v>
      </c>
      <c r="G467">
        <f t="shared" ca="1" si="61"/>
        <v>3700</v>
      </c>
      <c r="H467">
        <f t="shared" ca="1" si="62"/>
        <v>59200</v>
      </c>
    </row>
    <row r="468" spans="1:8">
      <c r="A468" s="2">
        <f t="shared" ca="1" si="56"/>
        <v>45667</v>
      </c>
      <c r="B468" s="3">
        <f t="shared" si="63"/>
        <v>1467</v>
      </c>
      <c r="C468" s="4" t="str">
        <f t="shared" ca="1" si="57"/>
        <v>Milk</v>
      </c>
      <c r="D468" s="4" t="str">
        <f t="shared" ca="1" si="58"/>
        <v>Food</v>
      </c>
      <c r="E468" t="str">
        <f t="shared" ca="1" si="59"/>
        <v>Ibadan</v>
      </c>
      <c r="F468">
        <f t="shared" ca="1" si="60"/>
        <v>7</v>
      </c>
      <c r="G468">
        <f t="shared" ca="1" si="61"/>
        <v>4500</v>
      </c>
      <c r="H468">
        <f t="shared" ca="1" si="62"/>
        <v>31500</v>
      </c>
    </row>
    <row r="469" spans="1:8">
      <c r="A469" s="2">
        <f t="shared" ca="1" si="56"/>
        <v>45676</v>
      </c>
      <c r="B469" s="3">
        <f t="shared" si="63"/>
        <v>1468</v>
      </c>
      <c r="C469" s="4" t="str">
        <f t="shared" ca="1" si="57"/>
        <v>Milk</v>
      </c>
      <c r="D469" s="4" t="str">
        <f t="shared" ca="1" si="58"/>
        <v>Beverage</v>
      </c>
      <c r="E469" t="str">
        <f t="shared" ca="1" si="59"/>
        <v>Lagos</v>
      </c>
      <c r="F469">
        <f t="shared" ca="1" si="60"/>
        <v>7</v>
      </c>
      <c r="G469">
        <f t="shared" ca="1" si="61"/>
        <v>3800</v>
      </c>
      <c r="H469">
        <f t="shared" ca="1" si="62"/>
        <v>26600</v>
      </c>
    </row>
    <row r="470" spans="1:8">
      <c r="A470" s="2">
        <f t="shared" ca="1" si="56"/>
        <v>45675</v>
      </c>
      <c r="B470" s="3">
        <f t="shared" si="63"/>
        <v>1469</v>
      </c>
      <c r="C470" s="4" t="str">
        <f t="shared" ca="1" si="57"/>
        <v>Beans</v>
      </c>
      <c r="D470" s="4" t="str">
        <f t="shared" ca="1" si="58"/>
        <v>Beverage</v>
      </c>
      <c r="E470" t="str">
        <f t="shared" ca="1" si="59"/>
        <v>Port Harcourt</v>
      </c>
      <c r="F470">
        <f t="shared" ca="1" si="60"/>
        <v>7</v>
      </c>
      <c r="G470">
        <f t="shared" ca="1" si="61"/>
        <v>6800</v>
      </c>
      <c r="H470">
        <f t="shared" ca="1" si="62"/>
        <v>47600</v>
      </c>
    </row>
    <row r="471" spans="1:8">
      <c r="A471" s="2">
        <f t="shared" ca="1" si="56"/>
        <v>45682</v>
      </c>
      <c r="B471" s="3">
        <f t="shared" si="63"/>
        <v>1470</v>
      </c>
      <c r="C471" s="4" t="str">
        <f t="shared" ca="1" si="57"/>
        <v>Sugar</v>
      </c>
      <c r="D471" s="4" t="str">
        <f t="shared" ca="1" si="58"/>
        <v>Household</v>
      </c>
      <c r="E471" t="str">
        <f t="shared" ca="1" si="59"/>
        <v>Port Harcourt</v>
      </c>
      <c r="F471">
        <f t="shared" ca="1" si="60"/>
        <v>12</v>
      </c>
      <c r="G471">
        <f t="shared" ca="1" si="61"/>
        <v>1200</v>
      </c>
      <c r="H471">
        <f t="shared" ca="1" si="62"/>
        <v>14400</v>
      </c>
    </row>
    <row r="472" spans="1:8">
      <c r="A472" s="2">
        <f t="shared" ca="1" si="56"/>
        <v>45665</v>
      </c>
      <c r="B472" s="3">
        <f t="shared" si="63"/>
        <v>1471</v>
      </c>
      <c r="C472" s="4" t="str">
        <f t="shared" ca="1" si="57"/>
        <v>Soft Drink</v>
      </c>
      <c r="D472" s="4" t="str">
        <f t="shared" ca="1" si="58"/>
        <v>Beverage</v>
      </c>
      <c r="E472" t="str">
        <f t="shared" ca="1" si="59"/>
        <v>Ibadan</v>
      </c>
      <c r="F472">
        <f t="shared" ca="1" si="60"/>
        <v>4</v>
      </c>
      <c r="G472">
        <f t="shared" ca="1" si="61"/>
        <v>1700</v>
      </c>
      <c r="H472">
        <f t="shared" ca="1" si="62"/>
        <v>6800</v>
      </c>
    </row>
    <row r="473" spans="1:8">
      <c r="A473" s="2">
        <f t="shared" ca="1" si="56"/>
        <v>45661</v>
      </c>
      <c r="B473" s="3">
        <f t="shared" si="63"/>
        <v>1472</v>
      </c>
      <c r="C473" s="4" t="str">
        <f t="shared" ca="1" si="57"/>
        <v>Noodles</v>
      </c>
      <c r="D473" s="4" t="str">
        <f t="shared" ca="1" si="58"/>
        <v>Household</v>
      </c>
      <c r="E473" t="str">
        <f t="shared" ca="1" si="59"/>
        <v>Lagos</v>
      </c>
      <c r="F473">
        <f t="shared" ca="1" si="60"/>
        <v>3</v>
      </c>
      <c r="G473">
        <f t="shared" ca="1" si="61"/>
        <v>6700</v>
      </c>
      <c r="H473">
        <f t="shared" ca="1" si="62"/>
        <v>20100</v>
      </c>
    </row>
    <row r="474" spans="1:8">
      <c r="A474" s="2">
        <f t="shared" ca="1" si="56"/>
        <v>45665</v>
      </c>
      <c r="B474" s="3">
        <f t="shared" si="63"/>
        <v>1473</v>
      </c>
      <c r="C474" s="4" t="str">
        <f t="shared" ca="1" si="57"/>
        <v>Soft Drink</v>
      </c>
      <c r="D474" s="4" t="str">
        <f t="shared" ca="1" si="58"/>
        <v>Household</v>
      </c>
      <c r="E474" t="str">
        <f t="shared" ca="1" si="59"/>
        <v>Kano</v>
      </c>
      <c r="F474">
        <f t="shared" ca="1" si="60"/>
        <v>13</v>
      </c>
      <c r="G474">
        <f t="shared" ca="1" si="61"/>
        <v>3700</v>
      </c>
      <c r="H474">
        <f t="shared" ca="1" si="62"/>
        <v>48100</v>
      </c>
    </row>
    <row r="475" spans="1:8">
      <c r="A475" s="2">
        <f t="shared" ca="1" si="56"/>
        <v>45684</v>
      </c>
      <c r="B475" s="3">
        <f t="shared" si="63"/>
        <v>1474</v>
      </c>
      <c r="C475" s="4" t="str">
        <f t="shared" ca="1" si="57"/>
        <v>Beans</v>
      </c>
      <c r="D475" s="4" t="str">
        <f t="shared" ca="1" si="58"/>
        <v>Beverage</v>
      </c>
      <c r="E475" t="str">
        <f t="shared" ca="1" si="59"/>
        <v>Port Harcourt</v>
      </c>
      <c r="F475">
        <f t="shared" ca="1" si="60"/>
        <v>4</v>
      </c>
      <c r="G475">
        <f t="shared" ca="1" si="61"/>
        <v>4300</v>
      </c>
      <c r="H475">
        <f t="shared" ca="1" si="62"/>
        <v>17200</v>
      </c>
    </row>
    <row r="476" spans="1:8">
      <c r="A476" s="2">
        <f t="shared" ca="1" si="56"/>
        <v>45682</v>
      </c>
      <c r="B476" s="3">
        <f t="shared" si="63"/>
        <v>1475</v>
      </c>
      <c r="C476" s="4" t="str">
        <f t="shared" ca="1" si="57"/>
        <v>Cooking Oil</v>
      </c>
      <c r="D476" s="4" t="str">
        <f t="shared" ca="1" si="58"/>
        <v>Beverage</v>
      </c>
      <c r="E476" t="str">
        <f t="shared" ca="1" si="59"/>
        <v>Ibadan</v>
      </c>
      <c r="F476">
        <f t="shared" ca="1" si="60"/>
        <v>11</v>
      </c>
      <c r="G476">
        <f t="shared" ca="1" si="61"/>
        <v>4700</v>
      </c>
      <c r="H476">
        <f t="shared" ca="1" si="62"/>
        <v>51700</v>
      </c>
    </row>
    <row r="477" spans="1:8">
      <c r="A477" s="2">
        <f t="shared" ca="1" si="56"/>
        <v>45683</v>
      </c>
      <c r="B477" s="3">
        <f t="shared" si="63"/>
        <v>1476</v>
      </c>
      <c r="C477" s="4" t="str">
        <f t="shared" ca="1" si="57"/>
        <v>Cooking Oil</v>
      </c>
      <c r="D477" s="4" t="str">
        <f t="shared" ca="1" si="58"/>
        <v>Household</v>
      </c>
      <c r="E477" t="str">
        <f t="shared" ca="1" si="59"/>
        <v>Abuja</v>
      </c>
      <c r="F477">
        <f t="shared" ca="1" si="60"/>
        <v>16</v>
      </c>
      <c r="G477">
        <f t="shared" ca="1" si="61"/>
        <v>4600</v>
      </c>
      <c r="H477">
        <f t="shared" ca="1" si="62"/>
        <v>73600</v>
      </c>
    </row>
    <row r="478" spans="1:8">
      <c r="A478" s="2">
        <f t="shared" ca="1" si="56"/>
        <v>45681</v>
      </c>
      <c r="B478" s="3">
        <f t="shared" si="63"/>
        <v>1477</v>
      </c>
      <c r="C478" s="4" t="str">
        <f t="shared" ca="1" si="57"/>
        <v>Beans</v>
      </c>
      <c r="D478" s="4" t="str">
        <f t="shared" ca="1" si="58"/>
        <v>Beverage</v>
      </c>
      <c r="E478" t="str">
        <f t="shared" ca="1" si="59"/>
        <v>Kano</v>
      </c>
      <c r="F478">
        <f t="shared" ca="1" si="60"/>
        <v>11</v>
      </c>
      <c r="G478">
        <f t="shared" ca="1" si="61"/>
        <v>3100</v>
      </c>
      <c r="H478">
        <f t="shared" ca="1" si="62"/>
        <v>34100</v>
      </c>
    </row>
    <row r="479" spans="1:8">
      <c r="A479" s="2">
        <f t="shared" ca="1" si="56"/>
        <v>45676</v>
      </c>
      <c r="B479" s="3">
        <f t="shared" si="63"/>
        <v>1478</v>
      </c>
      <c r="C479" s="4" t="str">
        <f t="shared" ca="1" si="57"/>
        <v>Bread</v>
      </c>
      <c r="D479" s="4" t="str">
        <f t="shared" ca="1" si="58"/>
        <v>Household</v>
      </c>
      <c r="E479" t="str">
        <f t="shared" ca="1" si="59"/>
        <v>Lagos</v>
      </c>
      <c r="F479">
        <f t="shared" ca="1" si="60"/>
        <v>5</v>
      </c>
      <c r="G479">
        <f t="shared" ca="1" si="61"/>
        <v>4500</v>
      </c>
      <c r="H479">
        <f t="shared" ca="1" si="62"/>
        <v>22500</v>
      </c>
    </row>
    <row r="480" spans="1:8">
      <c r="A480" s="2">
        <f t="shared" ca="1" si="56"/>
        <v>45683</v>
      </c>
      <c r="B480" s="3">
        <f t="shared" si="63"/>
        <v>1479</v>
      </c>
      <c r="C480" s="4" t="str">
        <f t="shared" ca="1" si="57"/>
        <v>Noodles</v>
      </c>
      <c r="D480" s="4" t="str">
        <f t="shared" ca="1" si="58"/>
        <v>Household</v>
      </c>
      <c r="E480" t="str">
        <f t="shared" ca="1" si="59"/>
        <v>Port Harcourt</v>
      </c>
      <c r="F480">
        <f t="shared" ca="1" si="60"/>
        <v>10</v>
      </c>
      <c r="G480">
        <f t="shared" ca="1" si="61"/>
        <v>800</v>
      </c>
      <c r="H480">
        <f t="shared" ca="1" si="62"/>
        <v>8000</v>
      </c>
    </row>
    <row r="481" spans="1:8">
      <c r="A481" s="2">
        <f t="shared" ca="1" si="56"/>
        <v>45670</v>
      </c>
      <c r="B481" s="3">
        <f t="shared" si="63"/>
        <v>1480</v>
      </c>
      <c r="C481" s="4" t="str">
        <f t="shared" ca="1" si="57"/>
        <v>Beans</v>
      </c>
      <c r="D481" s="4" t="str">
        <f t="shared" ca="1" si="58"/>
        <v>Beverage</v>
      </c>
      <c r="E481" t="str">
        <f t="shared" ca="1" si="59"/>
        <v>Port Harcourt</v>
      </c>
      <c r="F481">
        <f t="shared" ca="1" si="60"/>
        <v>14</v>
      </c>
      <c r="G481">
        <f t="shared" ca="1" si="61"/>
        <v>4900</v>
      </c>
      <c r="H481">
        <f t="shared" ca="1" si="62"/>
        <v>68600</v>
      </c>
    </row>
    <row r="482" spans="1:8">
      <c r="A482" s="2">
        <f t="shared" ca="1" si="56"/>
        <v>45669</v>
      </c>
      <c r="B482" s="3">
        <f t="shared" si="63"/>
        <v>1481</v>
      </c>
      <c r="C482" s="4" t="str">
        <f t="shared" ca="1" si="57"/>
        <v>Soft Drink</v>
      </c>
      <c r="D482" s="4" t="str">
        <f t="shared" ca="1" si="58"/>
        <v>Food</v>
      </c>
      <c r="E482" t="str">
        <f t="shared" ca="1" si="59"/>
        <v>Kano</v>
      </c>
      <c r="F482">
        <f t="shared" ca="1" si="60"/>
        <v>20</v>
      </c>
      <c r="G482">
        <f t="shared" ca="1" si="61"/>
        <v>6000</v>
      </c>
      <c r="H482">
        <f t="shared" ca="1" si="62"/>
        <v>120000</v>
      </c>
    </row>
    <row r="483" spans="1:8">
      <c r="A483" s="2">
        <f t="shared" ca="1" si="56"/>
        <v>45673</v>
      </c>
      <c r="B483" s="3">
        <f t="shared" si="63"/>
        <v>1482</v>
      </c>
      <c r="C483" s="4" t="str">
        <f t="shared" ca="1" si="57"/>
        <v>Rice</v>
      </c>
      <c r="D483" s="4" t="str">
        <f t="shared" ca="1" si="58"/>
        <v>Household</v>
      </c>
      <c r="E483" t="str">
        <f t="shared" ca="1" si="59"/>
        <v>Abuja</v>
      </c>
      <c r="F483">
        <f t="shared" ca="1" si="60"/>
        <v>6</v>
      </c>
      <c r="G483">
        <f t="shared" ca="1" si="61"/>
        <v>1700</v>
      </c>
      <c r="H483">
        <f t="shared" ca="1" si="62"/>
        <v>10200</v>
      </c>
    </row>
    <row r="484" spans="1:8">
      <c r="A484" s="2">
        <f t="shared" ca="1" si="56"/>
        <v>45676</v>
      </c>
      <c r="B484" s="3">
        <f t="shared" si="63"/>
        <v>1483</v>
      </c>
      <c r="C484" s="4" t="str">
        <f t="shared" ca="1" si="57"/>
        <v>Sugar</v>
      </c>
      <c r="D484" s="4" t="str">
        <f t="shared" ca="1" si="58"/>
        <v>Food</v>
      </c>
      <c r="E484" t="str">
        <f t="shared" ca="1" si="59"/>
        <v>Kano</v>
      </c>
      <c r="F484">
        <f t="shared" ca="1" si="60"/>
        <v>17</v>
      </c>
      <c r="G484">
        <f t="shared" ca="1" si="61"/>
        <v>1200</v>
      </c>
      <c r="H484">
        <f t="shared" ca="1" si="62"/>
        <v>20400</v>
      </c>
    </row>
    <row r="485" spans="1:8">
      <c r="A485" s="2">
        <f t="shared" ca="1" si="56"/>
        <v>45674</v>
      </c>
      <c r="B485" s="3">
        <f t="shared" si="63"/>
        <v>1484</v>
      </c>
      <c r="C485" s="4" t="str">
        <f t="shared" ca="1" si="57"/>
        <v>Rice</v>
      </c>
      <c r="D485" s="4" t="str">
        <f t="shared" ca="1" si="58"/>
        <v>Beverage</v>
      </c>
      <c r="E485" t="str">
        <f t="shared" ca="1" si="59"/>
        <v>Kano</v>
      </c>
      <c r="F485">
        <f t="shared" ca="1" si="60"/>
        <v>13</v>
      </c>
      <c r="G485">
        <f t="shared" ca="1" si="61"/>
        <v>3100</v>
      </c>
      <c r="H485">
        <f t="shared" ca="1" si="62"/>
        <v>40300</v>
      </c>
    </row>
    <row r="486" spans="1:8">
      <c r="A486" s="2">
        <f t="shared" ca="1" si="56"/>
        <v>45670</v>
      </c>
      <c r="B486" s="3">
        <f t="shared" si="63"/>
        <v>1485</v>
      </c>
      <c r="C486" s="4" t="str">
        <f t="shared" ca="1" si="57"/>
        <v>Cooking Oil</v>
      </c>
      <c r="D486" s="4" t="str">
        <f t="shared" ca="1" si="58"/>
        <v>Food</v>
      </c>
      <c r="E486" t="str">
        <f t="shared" ca="1" si="59"/>
        <v>Kano</v>
      </c>
      <c r="F486">
        <f t="shared" ca="1" si="60"/>
        <v>18</v>
      </c>
      <c r="G486">
        <f t="shared" ca="1" si="61"/>
        <v>2700</v>
      </c>
      <c r="H486">
        <f t="shared" ca="1" si="62"/>
        <v>48600</v>
      </c>
    </row>
    <row r="487" spans="1:8">
      <c r="A487" s="2">
        <f t="shared" ca="1" si="56"/>
        <v>45669</v>
      </c>
      <c r="B487" s="3">
        <f t="shared" si="63"/>
        <v>1486</v>
      </c>
      <c r="C487" s="4" t="str">
        <f t="shared" ca="1" si="57"/>
        <v>Noodles</v>
      </c>
      <c r="D487" s="4" t="str">
        <f t="shared" ca="1" si="58"/>
        <v>Food</v>
      </c>
      <c r="E487" t="str">
        <f t="shared" ca="1" si="59"/>
        <v>Abuja</v>
      </c>
      <c r="F487">
        <f t="shared" ca="1" si="60"/>
        <v>7</v>
      </c>
      <c r="G487">
        <f t="shared" ca="1" si="61"/>
        <v>1000</v>
      </c>
      <c r="H487">
        <f t="shared" ca="1" si="62"/>
        <v>7000</v>
      </c>
    </row>
    <row r="488" spans="1:8">
      <c r="A488" s="2">
        <f t="shared" ca="1" si="56"/>
        <v>45677</v>
      </c>
      <c r="B488" s="3">
        <f t="shared" si="63"/>
        <v>1487</v>
      </c>
      <c r="C488" s="4" t="str">
        <f t="shared" ca="1" si="57"/>
        <v>Milk</v>
      </c>
      <c r="D488" s="4" t="str">
        <f t="shared" ca="1" si="58"/>
        <v>Beverage</v>
      </c>
      <c r="E488" t="str">
        <f t="shared" ca="1" si="59"/>
        <v>Port Harcourt</v>
      </c>
      <c r="F488">
        <f t="shared" ca="1" si="60"/>
        <v>12</v>
      </c>
      <c r="G488">
        <f t="shared" ca="1" si="61"/>
        <v>5400</v>
      </c>
      <c r="H488">
        <f t="shared" ca="1" si="62"/>
        <v>64800</v>
      </c>
    </row>
    <row r="489" spans="1:8">
      <c r="A489" s="2">
        <f t="shared" ca="1" si="56"/>
        <v>45672</v>
      </c>
      <c r="B489" s="3">
        <f t="shared" si="63"/>
        <v>1488</v>
      </c>
      <c r="C489" s="4" t="str">
        <f t="shared" ca="1" si="57"/>
        <v>Beans</v>
      </c>
      <c r="D489" s="4" t="str">
        <f t="shared" ca="1" si="58"/>
        <v>Food</v>
      </c>
      <c r="E489" t="str">
        <f t="shared" ca="1" si="59"/>
        <v>Port Harcourt</v>
      </c>
      <c r="F489">
        <f t="shared" ca="1" si="60"/>
        <v>2</v>
      </c>
      <c r="G489">
        <f t="shared" ca="1" si="61"/>
        <v>1400</v>
      </c>
      <c r="H489">
        <f t="shared" ca="1" si="62"/>
        <v>2800</v>
      </c>
    </row>
    <row r="490" spans="1:8">
      <c r="A490" s="2">
        <f t="shared" ca="1" si="56"/>
        <v>45671</v>
      </c>
      <c r="B490" s="3">
        <f t="shared" si="63"/>
        <v>1489</v>
      </c>
      <c r="C490" s="4" t="str">
        <f t="shared" ca="1" si="57"/>
        <v>Rice</v>
      </c>
      <c r="D490" s="4" t="str">
        <f t="shared" ca="1" si="58"/>
        <v>Beverage</v>
      </c>
      <c r="E490" t="str">
        <f t="shared" ca="1" si="59"/>
        <v>Ibadan</v>
      </c>
      <c r="F490">
        <f t="shared" ca="1" si="60"/>
        <v>5</v>
      </c>
      <c r="G490">
        <f t="shared" ca="1" si="61"/>
        <v>3700</v>
      </c>
      <c r="H490">
        <f t="shared" ca="1" si="62"/>
        <v>18500</v>
      </c>
    </row>
    <row r="491" spans="1:8">
      <c r="A491" s="2">
        <f t="shared" ca="1" si="56"/>
        <v>45667</v>
      </c>
      <c r="B491" s="3">
        <f t="shared" si="63"/>
        <v>1490</v>
      </c>
      <c r="C491" s="4" t="str">
        <f t="shared" ca="1" si="57"/>
        <v>Rice</v>
      </c>
      <c r="D491" s="4" t="str">
        <f t="shared" ca="1" si="58"/>
        <v>Food</v>
      </c>
      <c r="E491" t="str">
        <f t="shared" ca="1" si="59"/>
        <v>Kano</v>
      </c>
      <c r="F491">
        <f t="shared" ca="1" si="60"/>
        <v>10</v>
      </c>
      <c r="G491">
        <f t="shared" ca="1" si="61"/>
        <v>4700</v>
      </c>
      <c r="H491">
        <f t="shared" ca="1" si="62"/>
        <v>47000</v>
      </c>
    </row>
    <row r="492" spans="1:8">
      <c r="A492" s="2">
        <f t="shared" ca="1" si="56"/>
        <v>45672</v>
      </c>
      <c r="B492" s="3">
        <f t="shared" si="63"/>
        <v>1491</v>
      </c>
      <c r="C492" s="4" t="str">
        <f t="shared" ca="1" si="57"/>
        <v>Cooking Oil</v>
      </c>
      <c r="D492" s="4" t="str">
        <f t="shared" ca="1" si="58"/>
        <v>Food</v>
      </c>
      <c r="E492" t="str">
        <f t="shared" ca="1" si="59"/>
        <v>Kano</v>
      </c>
      <c r="F492">
        <f t="shared" ca="1" si="60"/>
        <v>9</v>
      </c>
      <c r="G492">
        <f t="shared" ca="1" si="61"/>
        <v>5600</v>
      </c>
      <c r="H492">
        <f t="shared" ca="1" si="62"/>
        <v>50400</v>
      </c>
    </row>
    <row r="493" spans="1:8">
      <c r="A493" s="2">
        <f t="shared" ca="1" si="56"/>
        <v>45671</v>
      </c>
      <c r="B493" s="3">
        <f t="shared" si="63"/>
        <v>1492</v>
      </c>
      <c r="C493" s="4" t="str">
        <f t="shared" ca="1" si="57"/>
        <v>Soft Drink</v>
      </c>
      <c r="D493" s="4" t="str">
        <f t="shared" ca="1" si="58"/>
        <v>Household</v>
      </c>
      <c r="E493" t="str">
        <f t="shared" ca="1" si="59"/>
        <v>Ibadan</v>
      </c>
      <c r="F493">
        <f t="shared" ca="1" si="60"/>
        <v>1</v>
      </c>
      <c r="G493">
        <f t="shared" ca="1" si="61"/>
        <v>6100</v>
      </c>
      <c r="H493">
        <f t="shared" ca="1" si="62"/>
        <v>6100</v>
      </c>
    </row>
    <row r="494" spans="1:8">
      <c r="A494" s="2">
        <f t="shared" ca="1" si="56"/>
        <v>45665</v>
      </c>
      <c r="B494" s="3">
        <f t="shared" si="63"/>
        <v>1493</v>
      </c>
      <c r="C494" s="4" t="str">
        <f t="shared" ca="1" si="57"/>
        <v>Sugar</v>
      </c>
      <c r="D494" s="4" t="str">
        <f t="shared" ca="1" si="58"/>
        <v>Food</v>
      </c>
      <c r="E494" t="str">
        <f t="shared" ca="1" si="59"/>
        <v>Ibadan</v>
      </c>
      <c r="F494">
        <f t="shared" ca="1" si="60"/>
        <v>2</v>
      </c>
      <c r="G494">
        <f t="shared" ca="1" si="61"/>
        <v>4300</v>
      </c>
      <c r="H494">
        <f t="shared" ca="1" si="62"/>
        <v>8600</v>
      </c>
    </row>
    <row r="495" spans="1:8">
      <c r="A495" s="2">
        <f t="shared" ca="1" si="56"/>
        <v>45665</v>
      </c>
      <c r="B495" s="3">
        <f t="shared" si="63"/>
        <v>1494</v>
      </c>
      <c r="C495" s="4" t="str">
        <f t="shared" ca="1" si="57"/>
        <v>Beans</v>
      </c>
      <c r="D495" s="4" t="str">
        <f t="shared" ca="1" si="58"/>
        <v>Beverage</v>
      </c>
      <c r="E495" t="str">
        <f t="shared" ca="1" si="59"/>
        <v>Kano</v>
      </c>
      <c r="F495">
        <f t="shared" ca="1" si="60"/>
        <v>15</v>
      </c>
      <c r="G495">
        <f t="shared" ca="1" si="61"/>
        <v>5200</v>
      </c>
      <c r="H495">
        <f t="shared" ca="1" si="62"/>
        <v>78000</v>
      </c>
    </row>
    <row r="496" spans="1:8">
      <c r="A496" s="2">
        <f t="shared" ca="1" si="56"/>
        <v>45660</v>
      </c>
      <c r="B496" s="3">
        <f t="shared" si="63"/>
        <v>1495</v>
      </c>
      <c r="C496" s="4" t="str">
        <f t="shared" ca="1" si="57"/>
        <v>Sugar</v>
      </c>
      <c r="D496" s="4" t="str">
        <f t="shared" ca="1" si="58"/>
        <v>Household</v>
      </c>
      <c r="E496" t="str">
        <f t="shared" ca="1" si="59"/>
        <v>Abuja</v>
      </c>
      <c r="F496">
        <f t="shared" ca="1" si="60"/>
        <v>14</v>
      </c>
      <c r="G496">
        <f t="shared" ca="1" si="61"/>
        <v>3900</v>
      </c>
      <c r="H496">
        <f t="shared" ca="1" si="62"/>
        <v>54600</v>
      </c>
    </row>
    <row r="497" spans="1:8">
      <c r="A497" s="2">
        <f t="shared" ca="1" si="56"/>
        <v>45674</v>
      </c>
      <c r="B497" s="3">
        <f t="shared" si="63"/>
        <v>1496</v>
      </c>
      <c r="C497" s="4" t="str">
        <f t="shared" ca="1" si="57"/>
        <v>Rice</v>
      </c>
      <c r="D497" s="4" t="str">
        <f t="shared" ca="1" si="58"/>
        <v>Food</v>
      </c>
      <c r="E497" t="str">
        <f t="shared" ca="1" si="59"/>
        <v>Port Harcourt</v>
      </c>
      <c r="F497">
        <f t="shared" ca="1" si="60"/>
        <v>10</v>
      </c>
      <c r="G497">
        <f t="shared" ca="1" si="61"/>
        <v>5400</v>
      </c>
      <c r="H497">
        <f t="shared" ca="1" si="62"/>
        <v>54000</v>
      </c>
    </row>
    <row r="498" spans="1:8">
      <c r="A498" s="2">
        <f t="shared" ca="1" si="56"/>
        <v>45673</v>
      </c>
      <c r="B498" s="3">
        <f t="shared" si="63"/>
        <v>1497</v>
      </c>
      <c r="C498" s="4" t="str">
        <f t="shared" ca="1" si="57"/>
        <v>Milk</v>
      </c>
      <c r="D498" s="4" t="str">
        <f t="shared" ca="1" si="58"/>
        <v>Beverage</v>
      </c>
      <c r="E498" t="str">
        <f t="shared" ca="1" si="59"/>
        <v>Lagos</v>
      </c>
      <c r="F498">
        <f t="shared" ca="1" si="60"/>
        <v>2</v>
      </c>
      <c r="G498">
        <f t="shared" ca="1" si="61"/>
        <v>1800</v>
      </c>
      <c r="H498">
        <f t="shared" ca="1" si="62"/>
        <v>3600</v>
      </c>
    </row>
    <row r="499" spans="1:8">
      <c r="A499" s="2">
        <f t="shared" ca="1" si="56"/>
        <v>45669</v>
      </c>
      <c r="B499" s="3">
        <f t="shared" si="63"/>
        <v>1498</v>
      </c>
      <c r="C499" s="4" t="str">
        <f t="shared" ca="1" si="57"/>
        <v>Noodles</v>
      </c>
      <c r="D499" s="4" t="str">
        <f t="shared" ca="1" si="58"/>
        <v>Food</v>
      </c>
      <c r="E499" t="str">
        <f t="shared" ca="1" si="59"/>
        <v>Lagos</v>
      </c>
      <c r="F499">
        <f t="shared" ca="1" si="60"/>
        <v>16</v>
      </c>
      <c r="G499">
        <f t="shared" ca="1" si="61"/>
        <v>4200</v>
      </c>
      <c r="H499">
        <f t="shared" ca="1" si="62"/>
        <v>67200</v>
      </c>
    </row>
    <row r="500" spans="1:8">
      <c r="A500" s="2">
        <f t="shared" ca="1" si="56"/>
        <v>45671</v>
      </c>
      <c r="B500" s="3">
        <f t="shared" si="63"/>
        <v>1499</v>
      </c>
      <c r="C500" s="4" t="str">
        <f t="shared" ca="1" si="57"/>
        <v>Noodles</v>
      </c>
      <c r="D500" s="4" t="str">
        <f t="shared" ca="1" si="58"/>
        <v>Food</v>
      </c>
      <c r="E500" t="str">
        <f t="shared" ca="1" si="59"/>
        <v>Port Harcourt</v>
      </c>
      <c r="F500">
        <f t="shared" ca="1" si="60"/>
        <v>2</v>
      </c>
      <c r="G500">
        <f t="shared" ca="1" si="61"/>
        <v>6200</v>
      </c>
      <c r="H500">
        <f t="shared" ca="1" si="62"/>
        <v>12400</v>
      </c>
    </row>
  </sheetData>
  <pageMargins left="0.7" right="0.7" top="0.75" bottom="0.75" header="0.3" footer="0.3"/>
  <pageSetup orientation="portrait" r:id="rId1"/>
  <ignoredErrors>
    <ignoredError sqref="D1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AA6E-2364-494F-9AC5-C687FB2740F2}">
  <dimension ref="F1:G7"/>
  <sheetViews>
    <sheetView showGridLines="0" tabSelected="1" zoomScale="95" zoomScaleNormal="107" workbookViewId="0">
      <selection activeCell="I15" sqref="I15"/>
    </sheetView>
  </sheetViews>
  <sheetFormatPr defaultRowHeight="14.5"/>
  <cols>
    <col min="3" max="3" width="8.7265625" customWidth="1"/>
    <col min="6" max="6" width="21.453125" customWidth="1"/>
    <col min="7" max="7" width="19.90625" customWidth="1"/>
  </cols>
  <sheetData>
    <row r="1" spans="6:7" ht="28.5">
      <c r="G1" s="10" t="s">
        <v>28</v>
      </c>
    </row>
    <row r="2" spans="6:7">
      <c r="F2" s="1"/>
      <c r="G2" s="9"/>
    </row>
    <row r="3" spans="6:7" ht="21">
      <c r="F3" s="14"/>
      <c r="G3" s="12"/>
    </row>
    <row r="4" spans="6:7" ht="21">
      <c r="F4" s="14"/>
      <c r="G4" s="11"/>
    </row>
    <row r="5" spans="6:7" ht="21">
      <c r="F5" s="14"/>
      <c r="G5" s="13"/>
    </row>
    <row r="6" spans="6:7" ht="21">
      <c r="F6" s="14"/>
      <c r="G6" s="11"/>
    </row>
    <row r="7" spans="6:7" ht="21">
      <c r="F7" s="14"/>
      <c r="G7" s="1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 Total Revenue</vt:lpstr>
      <vt:lpstr>Pivot Best Selling Product</vt:lpstr>
      <vt:lpstr>Pivot Sales By city</vt:lpstr>
      <vt:lpstr>Pivot Daily Sales Trend</vt:lpstr>
      <vt:lpstr>Pivot Sales By Category</vt:lpstr>
      <vt:lpstr>Raw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Miracle Egwuatu</dc:creator>
  <cp:lastModifiedBy>Miracle Egwuatu</cp:lastModifiedBy>
  <dcterms:created xsi:type="dcterms:W3CDTF">2026-03-08T08:08:14Z</dcterms:created>
  <dcterms:modified xsi:type="dcterms:W3CDTF">2026-03-09T07:57:45Z</dcterms:modified>
</cp:coreProperties>
</file>